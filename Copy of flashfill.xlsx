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topher\Documents\EXCEL PROJECT\"/>
    </mc:Choice>
  </mc:AlternateContent>
  <xr:revisionPtr revIDLastSave="0" documentId="13_ncr:1_{BCFF7F27-ABDE-41F9-93C3-177CE104175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lashFill_Names" sheetId="2" r:id="rId1"/>
    <sheet name="FlashFill_Text" sheetId="3" r:id="rId2"/>
  </sheets>
  <definedNames>
    <definedName name="_xlnm._FilterDatabase" localSheetId="0" hidden="1">FlashFill_Names!$A$2:$O$603</definedName>
    <definedName name="_xlnm._FilterDatabase" localSheetId="1" hidden="1">FlashFill_Text!$A$3:$O$577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2" l="1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10" i="2"/>
  <c r="N11" i="2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10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11" i="3"/>
  <c r="K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Orange columns are practice targets for Flash Fill.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Orange columns are practice targets for Flash Fill.</t>
        </r>
      </text>
    </comment>
  </commentList>
</comments>
</file>

<file path=xl/sharedStrings.xml><?xml version="1.0" encoding="utf-8"?>
<sst xmlns="http://schemas.openxmlformats.org/spreadsheetml/2006/main" count="12462" uniqueCount="3885">
  <si>
    <t>Flash Fill Practice — Names and Contact Data</t>
  </si>
  <si>
    <t>First_Name</t>
  </si>
  <si>
    <t>Last_Name</t>
  </si>
  <si>
    <t>Company</t>
  </si>
  <si>
    <t>City</t>
  </si>
  <si>
    <t>State</t>
  </si>
  <si>
    <t>Email</t>
  </si>
  <si>
    <t>Phone</t>
  </si>
  <si>
    <t>DOB</t>
  </si>
  <si>
    <t>Full Name</t>
  </si>
  <si>
    <t>Last, First</t>
  </si>
  <si>
    <t>Username</t>
  </si>
  <si>
    <t>Initials</t>
  </si>
  <si>
    <t>Phone Digits</t>
  </si>
  <si>
    <t>DOB Text</t>
  </si>
  <si>
    <t>Email Domain</t>
  </si>
  <si>
    <t>Rows 3–8 contain examples. Use Flash Fill on the orange columns from row 9 downward.</t>
  </si>
  <si>
    <t>Ava</t>
  </si>
  <si>
    <t>White</t>
  </si>
  <si>
    <t>Crescent Logistics</t>
  </si>
  <si>
    <t>Columbus</t>
  </si>
  <si>
    <t>OH</t>
  </si>
  <si>
    <t>ava.white100@crescentlogistics.com</t>
  </si>
  <si>
    <t>(200)-100-1000</t>
  </si>
  <si>
    <t>Ava White</t>
  </si>
  <si>
    <t>White, Ava</t>
  </si>
  <si>
    <t>awhite100</t>
  </si>
  <si>
    <t>AW</t>
  </si>
  <si>
    <t>2001001000</t>
  </si>
  <si>
    <t>01-Jan-1985</t>
  </si>
  <si>
    <t>crescentlogistics.com</t>
  </si>
  <si>
    <t>Liam</t>
  </si>
  <si>
    <t>Thompson</t>
  </si>
  <si>
    <t>Northwind Labs</t>
  </si>
  <si>
    <t>Seattle</t>
  </si>
  <si>
    <t>WA</t>
  </si>
  <si>
    <t>liam.thompson101@northwindlabs.com</t>
  </si>
  <si>
    <t>(207)-111-1013</t>
  </si>
  <si>
    <t>Liam Thompson</t>
  </si>
  <si>
    <t>Thompson, Liam</t>
  </si>
  <si>
    <t>lthompson101</t>
  </si>
  <si>
    <t>LT</t>
  </si>
  <si>
    <t>2071111013</t>
  </si>
  <si>
    <t>06-Mar-1986</t>
  </si>
  <si>
    <t>northwindlabs.com</t>
  </si>
  <si>
    <t>Noah</t>
  </si>
  <si>
    <t>Robinson</t>
  </si>
  <si>
    <t>Maple &amp; Co</t>
  </si>
  <si>
    <t>Atlanta</t>
  </si>
  <si>
    <t>GA</t>
  </si>
  <si>
    <t>noah.robinson102@mapleco.com</t>
  </si>
  <si>
    <t>(214)-122-1026</t>
  </si>
  <si>
    <t>Noah Robinson</t>
  </si>
  <si>
    <t>Robinson, Noah</t>
  </si>
  <si>
    <t>nrobinson102</t>
  </si>
  <si>
    <t>NR</t>
  </si>
  <si>
    <t>2141221026</t>
  </si>
  <si>
    <t>11-May-1987</t>
  </si>
  <si>
    <t>mapleco.com</t>
  </si>
  <si>
    <t>Emma</t>
  </si>
  <si>
    <t>Walker</t>
  </si>
  <si>
    <t>Stonegate Travel</t>
  </si>
  <si>
    <t>Raleigh</t>
  </si>
  <si>
    <t>NC</t>
  </si>
  <si>
    <t>emma.walker103@stonegatetravel.com</t>
  </si>
  <si>
    <t>(221)-133-1039</t>
  </si>
  <si>
    <t>Emma Walker</t>
  </si>
  <si>
    <t>Walker, Emma</t>
  </si>
  <si>
    <t>ewalker103</t>
  </si>
  <si>
    <t>EW</t>
  </si>
  <si>
    <t>2211331039</t>
  </si>
  <si>
    <t>16-Jul-1988</t>
  </si>
  <si>
    <t>stonegatetravel.com</t>
  </si>
  <si>
    <t>Olivia</t>
  </si>
  <si>
    <t>Young</t>
  </si>
  <si>
    <t>Vertex Systems</t>
  </si>
  <si>
    <t>Austin</t>
  </si>
  <si>
    <t>TX</t>
  </si>
  <si>
    <t>olivia.young104@vertexsystems.com</t>
  </si>
  <si>
    <t>(228)-144-1052</t>
  </si>
  <si>
    <t>Olivia Young</t>
  </si>
  <si>
    <t>Young, Olivia</t>
  </si>
  <si>
    <t>oyoung104</t>
  </si>
  <si>
    <t>OY</t>
  </si>
  <si>
    <t>2281441052</t>
  </si>
  <si>
    <t>21-Sep-1989</t>
  </si>
  <si>
    <t>vertexsystems.com</t>
  </si>
  <si>
    <t>Elijah</t>
  </si>
  <si>
    <t>Scott</t>
  </si>
  <si>
    <t>ClearBridge Media</t>
  </si>
  <si>
    <t>Portland</t>
  </si>
  <si>
    <t>OR</t>
  </si>
  <si>
    <t>elijah.scott105@clearbridgemedia.com</t>
  </si>
  <si>
    <t>(235)-155-1065</t>
  </si>
  <si>
    <t>Elijah Scott</t>
  </si>
  <si>
    <t>Scott, Elijah</t>
  </si>
  <si>
    <t>escott105</t>
  </si>
  <si>
    <t>ES</t>
  </si>
  <si>
    <t>2351551065</t>
  </si>
  <si>
    <t>26-Nov-1990</t>
  </si>
  <si>
    <t>clearbridgemedia.com</t>
  </si>
  <si>
    <t>Sophia</t>
  </si>
  <si>
    <t>Adams</t>
  </si>
  <si>
    <t>Nimbus Energy</t>
  </si>
  <si>
    <t>Detroit</t>
  </si>
  <si>
    <t>MI</t>
  </si>
  <si>
    <t>sophia.adams106@nimbusenergy.com</t>
  </si>
  <si>
    <t>(242)-166-1078</t>
  </si>
  <si>
    <t>Mason</t>
  </si>
  <si>
    <t>Mitchell</t>
  </si>
  <si>
    <t>Pioneer Design</t>
  </si>
  <si>
    <t>Denver</t>
  </si>
  <si>
    <t>CO</t>
  </si>
  <si>
    <t>mason.mitchell107@pioneerdesign.com</t>
  </si>
  <si>
    <t>(249)-177-1091</t>
  </si>
  <si>
    <t>Isabella</t>
  </si>
  <si>
    <t>Singh</t>
  </si>
  <si>
    <t>UrbanNest</t>
  </si>
  <si>
    <t>Nashville</t>
  </si>
  <si>
    <t>TN</t>
  </si>
  <si>
    <t>isabella.singh108@urbannest.com</t>
  </si>
  <si>
    <t>(256)-188-1104</t>
  </si>
  <si>
    <t>Lucas</t>
  </si>
  <si>
    <t>Ali</t>
  </si>
  <si>
    <t>Evergreen Foods</t>
  </si>
  <si>
    <t>Tampa</t>
  </si>
  <si>
    <t>FL</t>
  </si>
  <si>
    <t>lucas.ali109@evergreenfoods.com</t>
  </si>
  <si>
    <t>(263)-199-1117</t>
  </si>
  <si>
    <t>Mia</t>
  </si>
  <si>
    <t>Murphy</t>
  </si>
  <si>
    <t>Harbor Fitness</t>
  </si>
  <si>
    <t>Miami</t>
  </si>
  <si>
    <t>mia.murphy110@harborfitness.com</t>
  </si>
  <si>
    <t>(270)-210-1130</t>
  </si>
  <si>
    <t>Amelia</t>
  </si>
  <si>
    <t>Smith</t>
  </si>
  <si>
    <t>Summit Works</t>
  </si>
  <si>
    <t>San Diego</t>
  </si>
  <si>
    <t>CA</t>
  </si>
  <si>
    <t>amelia.smith111@summitworks.com</t>
  </si>
  <si>
    <t>(277)-221-1143</t>
  </si>
  <si>
    <t>Harper</t>
  </si>
  <si>
    <t>Taylor</t>
  </si>
  <si>
    <t>Silverline Tech</t>
  </si>
  <si>
    <t>Las Vegas</t>
  </si>
  <si>
    <t>NV</t>
  </si>
  <si>
    <t>harper.taylor112@silverlinetech.com</t>
  </si>
  <si>
    <t>(284)-232-1156</t>
  </si>
  <si>
    <t>Ethan</t>
  </si>
  <si>
    <t>Jackson</t>
  </si>
  <si>
    <t>Aurora Learning</t>
  </si>
  <si>
    <t>Boston</t>
  </si>
  <si>
    <t>MA</t>
  </si>
  <si>
    <t>ethan.jackson113@auroralearning.com</t>
  </si>
  <si>
    <t>(291)-243-1169</t>
  </si>
  <si>
    <t>James</t>
  </si>
  <si>
    <t>Martin</t>
  </si>
  <si>
    <t>BluePeak Retail</t>
  </si>
  <si>
    <t>Dallas</t>
  </si>
  <si>
    <t>james.martin114@bluepeakretail.com</t>
  </si>
  <si>
    <t>(298)-254-1182</t>
  </si>
  <si>
    <t>Charlotte</t>
  </si>
  <si>
    <t>Martinez</t>
  </si>
  <si>
    <t>BrightPath Health</t>
  </si>
  <si>
    <t>Minneapolis</t>
  </si>
  <si>
    <t>MN</t>
  </si>
  <si>
    <t>charlotte.martinez115@brightpathhealth.com</t>
  </si>
  <si>
    <t>(305)-265-1195</t>
  </si>
  <si>
    <t>Benjamin</t>
  </si>
  <si>
    <t>Lewis</t>
  </si>
  <si>
    <t>Phoenix</t>
  </si>
  <si>
    <t>AZ</t>
  </si>
  <si>
    <t>benjamin.lewis116@crescentlogistics.com</t>
  </si>
  <si>
    <t>(312)-276-1208</t>
  </si>
  <si>
    <t>Evelyn</t>
  </si>
  <si>
    <t>Allen</t>
  </si>
  <si>
    <t>evelyn.allen117@northwindlabs.com</t>
  </si>
  <si>
    <t>(319)-287-1221</t>
  </si>
  <si>
    <t>Aria</t>
  </si>
  <si>
    <t>Wright</t>
  </si>
  <si>
    <t>Kansas City</t>
  </si>
  <si>
    <t>MO</t>
  </si>
  <si>
    <t>aria.wright118@mapleco.com</t>
  </si>
  <si>
    <t>(326)-298-1234</t>
  </si>
  <si>
    <t>Henry</t>
  </si>
  <si>
    <t>Baker</t>
  </si>
  <si>
    <t>Chicago</t>
  </si>
  <si>
    <t>IL</t>
  </si>
  <si>
    <t>henry.baker119@stonegatetravel.com</t>
  </si>
  <si>
    <t>(333)-309-1247</t>
  </si>
  <si>
    <t>Aiden</t>
  </si>
  <si>
    <t>Carter</t>
  </si>
  <si>
    <t>aiden.carter120@vertexsystems.com</t>
  </si>
  <si>
    <t>(340)-320-1260</t>
  </si>
  <si>
    <t>Scarlett</t>
  </si>
  <si>
    <t>Patel</t>
  </si>
  <si>
    <t>scarlett.patel121@clearbridgemedia.com</t>
  </si>
  <si>
    <t>(347)-331-1273</t>
  </si>
  <si>
    <t>Ella</t>
  </si>
  <si>
    <t>Sharma</t>
  </si>
  <si>
    <t>ella.sharma122@nimbusenergy.com</t>
  </si>
  <si>
    <t>(354)-342-1286</t>
  </si>
  <si>
    <t>Michael</t>
  </si>
  <si>
    <t>Campbell</t>
  </si>
  <si>
    <t>michael.campbell123@pioneerdesign.com</t>
  </si>
  <si>
    <t>(361)-353-1299</t>
  </si>
  <si>
    <t>Daniel</t>
  </si>
  <si>
    <t>Brooks</t>
  </si>
  <si>
    <t>daniel.brooks124@urbannest.com</t>
  </si>
  <si>
    <t>(368)-364-1312</t>
  </si>
  <si>
    <t>Sofia</t>
  </si>
  <si>
    <t>Brown</t>
  </si>
  <si>
    <t>sofia.brown125@evergreenfoods.com</t>
  </si>
  <si>
    <t>(375)-375-1325</t>
  </si>
  <si>
    <t>Levi</t>
  </si>
  <si>
    <t>Thomas</t>
  </si>
  <si>
    <t>levi.thomas126@harborfitness.com</t>
  </si>
  <si>
    <t>(382)-386-1338</t>
  </si>
  <si>
    <t>Mateo</t>
  </si>
  <si>
    <t>Harris</t>
  </si>
  <si>
    <t>mateo.harris127@summitworks.com</t>
  </si>
  <si>
    <t>(389)-397-1351</t>
  </si>
  <si>
    <t>Neha</t>
  </si>
  <si>
    <t>Garcia</t>
  </si>
  <si>
    <t>neha.garcia128@silverlinetech.com</t>
  </si>
  <si>
    <t>(396)-408-1364</t>
  </si>
  <si>
    <t>Priya</t>
  </si>
  <si>
    <t>Clark</t>
  </si>
  <si>
    <t>priya.clark129@auroralearning.com</t>
  </si>
  <si>
    <t>(403)-419-1377</t>
  </si>
  <si>
    <t>Arjun</t>
  </si>
  <si>
    <t>Hall</t>
  </si>
  <si>
    <t>arjun.hall130@bluepeakretail.com</t>
  </si>
  <si>
    <t>(410)-430-1390</t>
  </si>
  <si>
    <t>Sana</t>
  </si>
  <si>
    <t>King</t>
  </si>
  <si>
    <t>sana.king131@brightpathhealth.com</t>
  </si>
  <si>
    <t>(417)-441-1403</t>
  </si>
  <si>
    <t>Riya</t>
  </si>
  <si>
    <t>Green</t>
  </si>
  <si>
    <t>riya.green132@crescentlogistics.com</t>
  </si>
  <si>
    <t>(424)-452-1416</t>
  </si>
  <si>
    <t>Kabir</t>
  </si>
  <si>
    <t>Nelson</t>
  </si>
  <si>
    <t>kabir.nelson133@northwindlabs.com</t>
  </si>
  <si>
    <t>(431)-463-1429</t>
  </si>
  <si>
    <t>Zara</t>
  </si>
  <si>
    <t>Perez</t>
  </si>
  <si>
    <t>zara.perez134@mapleco.com</t>
  </si>
  <si>
    <t>(438)-474-1442</t>
  </si>
  <si>
    <t>Omar</t>
  </si>
  <si>
    <t>Khan</t>
  </si>
  <si>
    <t>omar.khan135@stonegatetravel.com</t>
  </si>
  <si>
    <t>(445)-485-1455</t>
  </si>
  <si>
    <t>Layla</t>
  </si>
  <si>
    <t>Rivera</t>
  </si>
  <si>
    <t>layla.rivera136@vertexsystems.com</t>
  </si>
  <si>
    <t>(452)-496-1468</t>
  </si>
  <si>
    <t>Fatima</t>
  </si>
  <si>
    <t>Reed</t>
  </si>
  <si>
    <t>fatima.reed137@clearbridgemedia.com</t>
  </si>
  <si>
    <t>(459)-507-1481</t>
  </si>
  <si>
    <t>Hugo</t>
  </si>
  <si>
    <t>Johnson</t>
  </si>
  <si>
    <t>hugo.johnson138@nimbusenergy.com</t>
  </si>
  <si>
    <t>(466)-518-1494</t>
  </si>
  <si>
    <t>Nina</t>
  </si>
  <si>
    <t>Anderson</t>
  </si>
  <si>
    <t>nina.anderson139@pioneerdesign.com</t>
  </si>
  <si>
    <t>(473)-529-1507</t>
  </si>
  <si>
    <t>Leo</t>
  </si>
  <si>
    <t>leo.white140@urbannest.com</t>
  </si>
  <si>
    <t>(480)-540-1520</t>
  </si>
  <si>
    <t>Grace</t>
  </si>
  <si>
    <t>grace.thompson141@evergreenfoods.com</t>
  </si>
  <si>
    <t>(487)-551-1533</t>
  </si>
  <si>
    <t>Chloe</t>
  </si>
  <si>
    <t>chloe.robinson142@harborfitness.com</t>
  </si>
  <si>
    <t>(494)-562-1546</t>
  </si>
  <si>
    <t>Jack</t>
  </si>
  <si>
    <t>jack.walker143@summitworks.com</t>
  </si>
  <si>
    <t>(501)-573-1559</t>
  </si>
  <si>
    <t>Mila</t>
  </si>
  <si>
    <t>mila.young144@silverlinetech.com</t>
  </si>
  <si>
    <t>(508)-584-1572</t>
  </si>
  <si>
    <t>David</t>
  </si>
  <si>
    <t>david.scott145@auroralearning.com</t>
  </si>
  <si>
    <t>(515)-595-1585</t>
  </si>
  <si>
    <t>Hannah</t>
  </si>
  <si>
    <t>hannah.adams146@bluepeakretail.com</t>
  </si>
  <si>
    <t>(522)-606-1598</t>
  </si>
  <si>
    <t>Victor</t>
  </si>
  <si>
    <t>victor.mitchell147@brightpathhealth.com</t>
  </si>
  <si>
    <t>(529)-617-1611</t>
  </si>
  <si>
    <t>Ruby</t>
  </si>
  <si>
    <t>ruby.singh148@crescentlogistics.com</t>
  </si>
  <si>
    <t>(536)-628-1624</t>
  </si>
  <si>
    <t>Anaya</t>
  </si>
  <si>
    <t>anaya.ali149@northwindlabs.com</t>
  </si>
  <si>
    <t>(543)-639-1637</t>
  </si>
  <si>
    <t>ava.murphy150@mapleco.com</t>
  </si>
  <si>
    <t>(550)-650-1650</t>
  </si>
  <si>
    <t>liam.smith151@stonegatetravel.com</t>
  </si>
  <si>
    <t>(557)-661-1663</t>
  </si>
  <si>
    <t>noah.taylor152@vertexsystems.com</t>
  </si>
  <si>
    <t>(564)-672-1676</t>
  </si>
  <si>
    <t>emma.jackson153@clearbridgemedia.com</t>
  </si>
  <si>
    <t>(571)-683-1689</t>
  </si>
  <si>
    <t>olivia.martin154@nimbusenergy.com</t>
  </si>
  <si>
    <t>(578)-694-1702</t>
  </si>
  <si>
    <t>elijah.martinez155@pioneerdesign.com</t>
  </si>
  <si>
    <t>(585)-705-1715</t>
  </si>
  <si>
    <t>sophia.lewis156@urbannest.com</t>
  </si>
  <si>
    <t>(592)-716-1728</t>
  </si>
  <si>
    <t>mason.allen157@evergreenfoods.com</t>
  </si>
  <si>
    <t>(599)-727-1741</t>
  </si>
  <si>
    <t>isabella.wright158@harborfitness.com</t>
  </si>
  <si>
    <t>(606)-738-1754</t>
  </si>
  <si>
    <t>lucas.baker159@summitworks.com</t>
  </si>
  <si>
    <t>(613)-749-1767</t>
  </si>
  <si>
    <t>mia.carter160@silverlinetech.com</t>
  </si>
  <si>
    <t>(620)-760-1780</t>
  </si>
  <si>
    <t>amelia.patel161@auroralearning.com</t>
  </si>
  <si>
    <t>(627)-771-1793</t>
  </si>
  <si>
    <t>harper.sharma162@bluepeakretail.com</t>
  </si>
  <si>
    <t>(634)-782-1806</t>
  </si>
  <si>
    <t>ethan.campbell163@brightpathhealth.com</t>
  </si>
  <si>
    <t>(641)-793-1819</t>
  </si>
  <si>
    <t>james.brooks164@crescentlogistics.com</t>
  </si>
  <si>
    <t>(648)-804-1832</t>
  </si>
  <si>
    <t>charlotte.brown165@northwindlabs.com</t>
  </si>
  <si>
    <t>(655)-815-1845</t>
  </si>
  <si>
    <t>benjamin.thomas166@mapleco.com</t>
  </si>
  <si>
    <t>(662)-826-1858</t>
  </si>
  <si>
    <t>evelyn.harris167@stonegatetravel.com</t>
  </si>
  <si>
    <t>(669)-837-1871</t>
  </si>
  <si>
    <t>aria.garcia168@vertexsystems.com</t>
  </si>
  <si>
    <t>(676)-848-1884</t>
  </si>
  <si>
    <t>henry.clark169@clearbridgemedia.com</t>
  </si>
  <si>
    <t>(683)-859-1897</t>
  </si>
  <si>
    <t>aiden.hall170@nimbusenergy.com</t>
  </si>
  <si>
    <t>(690)-870-1910</t>
  </si>
  <si>
    <t>scarlett.king171@pioneerdesign.com</t>
  </si>
  <si>
    <t>(697)-881-1923</t>
  </si>
  <si>
    <t>ella.green172@urbannest.com</t>
  </si>
  <si>
    <t>(704)-892-1936</t>
  </si>
  <si>
    <t>michael.nelson173@evergreenfoods.com</t>
  </si>
  <si>
    <t>(711)-903-1949</t>
  </si>
  <si>
    <t>daniel.perez174@harborfitness.com</t>
  </si>
  <si>
    <t>(718)-914-1962</t>
  </si>
  <si>
    <t>sofia.khan175@summitworks.com</t>
  </si>
  <si>
    <t>(725)-925-1975</t>
  </si>
  <si>
    <t>levi.rivera176@silverlinetech.com</t>
  </si>
  <si>
    <t>(732)-936-1988</t>
  </si>
  <si>
    <t>mateo.reed177@auroralearning.com</t>
  </si>
  <si>
    <t>(739)-947-2001</t>
  </si>
  <si>
    <t>neha.johnson178@bluepeakretail.com</t>
  </si>
  <si>
    <t>(746)-958-2014</t>
  </si>
  <si>
    <t>priya.anderson179@brightpathhealth.com</t>
  </si>
  <si>
    <t>(753)-969-2027</t>
  </si>
  <si>
    <t>arjun.white180@crescentlogistics.com</t>
  </si>
  <si>
    <t>(760)-980-2040</t>
  </si>
  <si>
    <t>sana.thompson181@northwindlabs.com</t>
  </si>
  <si>
    <t>(767)-991-2053</t>
  </si>
  <si>
    <t>riya.robinson182@mapleco.com</t>
  </si>
  <si>
    <t>(774)-102-2066</t>
  </si>
  <si>
    <t>kabir.walker183@stonegatetravel.com</t>
  </si>
  <si>
    <t>(781)-113-2079</t>
  </si>
  <si>
    <t>zara.young184@vertexsystems.com</t>
  </si>
  <si>
    <t>(788)-124-2092</t>
  </si>
  <si>
    <t>omar.scott185@clearbridgemedia.com</t>
  </si>
  <si>
    <t>(795)-135-2105</t>
  </si>
  <si>
    <t>layla.adams186@nimbusenergy.com</t>
  </si>
  <si>
    <t>(802)-146-2118</t>
  </si>
  <si>
    <t>fatima.mitchell187@pioneerdesign.com</t>
  </si>
  <si>
    <t>(809)-157-2131</t>
  </si>
  <si>
    <t>hugo.singh188@urbannest.com</t>
  </si>
  <si>
    <t>(816)-168-2144</t>
  </si>
  <si>
    <t>nina.ali189@evergreenfoods.com</t>
  </si>
  <si>
    <t>(823)-179-2157</t>
  </si>
  <si>
    <t>leo.murphy190@harborfitness.com</t>
  </si>
  <si>
    <t>(830)-190-2170</t>
  </si>
  <si>
    <t>grace.smith191@summitworks.com</t>
  </si>
  <si>
    <t>(837)-201-2183</t>
  </si>
  <si>
    <t>chloe.taylor192@silverlinetech.com</t>
  </si>
  <si>
    <t>(844)-212-2196</t>
  </si>
  <si>
    <t>jack.jackson193@auroralearning.com</t>
  </si>
  <si>
    <t>(851)-223-2209</t>
  </si>
  <si>
    <t>mila.martin194@bluepeakretail.com</t>
  </si>
  <si>
    <t>(858)-234-2222</t>
  </si>
  <si>
    <t>david.martinez195@brightpathhealth.com</t>
  </si>
  <si>
    <t>(865)-245-2235</t>
  </si>
  <si>
    <t>hannah.lewis196@crescentlogistics.com</t>
  </si>
  <si>
    <t>(872)-256-2248</t>
  </si>
  <si>
    <t>victor.allen197@northwindlabs.com</t>
  </si>
  <si>
    <t>(879)-267-2261</t>
  </si>
  <si>
    <t>ruby.wright198@mapleco.com</t>
  </si>
  <si>
    <t>(886)-278-2274</t>
  </si>
  <si>
    <t>anaya.baker199@stonegatetravel.com</t>
  </si>
  <si>
    <t>(893)-289-2287</t>
  </si>
  <si>
    <t>ava.carter200@vertexsystems.com</t>
  </si>
  <si>
    <t>(200)-300-2300</t>
  </si>
  <si>
    <t>liam.patel201@clearbridgemedia.com</t>
  </si>
  <si>
    <t>(207)-311-2313</t>
  </si>
  <si>
    <t>noah.sharma202@nimbusenergy.com</t>
  </si>
  <si>
    <t>(214)-322-2326</t>
  </si>
  <si>
    <t>emma.campbell203@pioneerdesign.com</t>
  </si>
  <si>
    <t>(221)-333-2339</t>
  </si>
  <si>
    <t>olivia.brooks204@urbannest.com</t>
  </si>
  <si>
    <t>(228)-344-2352</t>
  </si>
  <si>
    <t>elijah.brown205@evergreenfoods.com</t>
  </si>
  <si>
    <t>(235)-355-2365</t>
  </si>
  <si>
    <t>sophia.thomas206@harborfitness.com</t>
  </si>
  <si>
    <t>(242)-366-2378</t>
  </si>
  <si>
    <t>mason.harris207@summitworks.com</t>
  </si>
  <si>
    <t>(249)-377-2391</t>
  </si>
  <si>
    <t>isabella.garcia208@silverlinetech.com</t>
  </si>
  <si>
    <t>(256)-388-2404</t>
  </si>
  <si>
    <t>lucas.clark209@auroralearning.com</t>
  </si>
  <si>
    <t>(263)-399-2417</t>
  </si>
  <si>
    <t>mia.hall210@bluepeakretail.com</t>
  </si>
  <si>
    <t>(270)-410-2430</t>
  </si>
  <si>
    <t>amelia.king211@brightpathhealth.com</t>
  </si>
  <si>
    <t>(277)-421-2443</t>
  </si>
  <si>
    <t>harper.green212@crescentlogistics.com</t>
  </si>
  <si>
    <t>(284)-432-2456</t>
  </si>
  <si>
    <t>ethan.nelson213@northwindlabs.com</t>
  </si>
  <si>
    <t>(291)-443-2469</t>
  </si>
  <si>
    <t>james.perez214@mapleco.com</t>
  </si>
  <si>
    <t>(298)-454-2482</t>
  </si>
  <si>
    <t>charlotte.khan215@stonegatetravel.com</t>
  </si>
  <si>
    <t>(305)-465-2495</t>
  </si>
  <si>
    <t>benjamin.rivera216@vertexsystems.com</t>
  </si>
  <si>
    <t>(312)-476-2508</t>
  </si>
  <si>
    <t>evelyn.reed217@clearbridgemedia.com</t>
  </si>
  <si>
    <t>(319)-487-2521</t>
  </si>
  <si>
    <t>aria.johnson218@nimbusenergy.com</t>
  </si>
  <si>
    <t>(326)-498-2534</t>
  </si>
  <si>
    <t>henry.anderson219@pioneerdesign.com</t>
  </si>
  <si>
    <t>(333)-509-2547</t>
  </si>
  <si>
    <t>aiden.white220@urbannest.com</t>
  </si>
  <si>
    <t>(340)-520-2560</t>
  </si>
  <si>
    <t>scarlett.thompson221@evergreenfoods.com</t>
  </si>
  <si>
    <t>(347)-531-2573</t>
  </si>
  <si>
    <t>ella.robinson222@harborfitness.com</t>
  </si>
  <si>
    <t>(354)-542-2586</t>
  </si>
  <si>
    <t>michael.walker223@summitworks.com</t>
  </si>
  <si>
    <t>(361)-553-2599</t>
  </si>
  <si>
    <t>daniel.young224@silverlinetech.com</t>
  </si>
  <si>
    <t>(368)-564-2612</t>
  </si>
  <si>
    <t>sofia.scott225@auroralearning.com</t>
  </si>
  <si>
    <t>(375)-575-2625</t>
  </si>
  <si>
    <t>levi.adams226@bluepeakretail.com</t>
  </si>
  <si>
    <t>(382)-586-2638</t>
  </si>
  <si>
    <t>mateo.mitchell227@brightpathhealth.com</t>
  </si>
  <si>
    <t>(389)-597-2651</t>
  </si>
  <si>
    <t>neha.singh228@crescentlogistics.com</t>
  </si>
  <si>
    <t>(396)-608-2664</t>
  </si>
  <si>
    <t>priya.ali229@northwindlabs.com</t>
  </si>
  <si>
    <t>(403)-619-2677</t>
  </si>
  <si>
    <t>arjun.murphy230@mapleco.com</t>
  </si>
  <si>
    <t>(410)-630-2690</t>
  </si>
  <si>
    <t>sana.smith231@stonegatetravel.com</t>
  </si>
  <si>
    <t>(417)-641-2703</t>
  </si>
  <si>
    <t>riya.taylor232@vertexsystems.com</t>
  </si>
  <si>
    <t>(424)-652-2716</t>
  </si>
  <si>
    <t>kabir.jackson233@clearbridgemedia.com</t>
  </si>
  <si>
    <t>(431)-663-2729</t>
  </si>
  <si>
    <t>zara.martin234@nimbusenergy.com</t>
  </si>
  <si>
    <t>(438)-674-2742</t>
  </si>
  <si>
    <t>omar.martinez235@pioneerdesign.com</t>
  </si>
  <si>
    <t>(445)-685-2755</t>
  </si>
  <si>
    <t>layla.lewis236@urbannest.com</t>
  </si>
  <si>
    <t>(452)-696-2768</t>
  </si>
  <si>
    <t>fatima.allen237@evergreenfoods.com</t>
  </si>
  <si>
    <t>(459)-707-2781</t>
  </si>
  <si>
    <t>hugo.wright238@harborfitness.com</t>
  </si>
  <si>
    <t>(466)-718-2794</t>
  </si>
  <si>
    <t>nina.baker239@summitworks.com</t>
  </si>
  <si>
    <t>(473)-729-2807</t>
  </si>
  <si>
    <t>leo.carter240@silverlinetech.com</t>
  </si>
  <si>
    <t>(480)-740-2820</t>
  </si>
  <si>
    <t>grace.patel241@auroralearning.com</t>
  </si>
  <si>
    <t>(487)-751-2833</t>
  </si>
  <si>
    <t>chloe.sharma242@bluepeakretail.com</t>
  </si>
  <si>
    <t>(494)-762-2846</t>
  </si>
  <si>
    <t>jack.campbell243@brightpathhealth.com</t>
  </si>
  <si>
    <t>(501)-773-2859</t>
  </si>
  <si>
    <t>mila.brooks244@crescentlogistics.com</t>
  </si>
  <si>
    <t>(508)-784-2872</t>
  </si>
  <si>
    <t>david.brown245@northwindlabs.com</t>
  </si>
  <si>
    <t>(515)-795-2885</t>
  </si>
  <si>
    <t>hannah.thomas246@mapleco.com</t>
  </si>
  <si>
    <t>(522)-806-2898</t>
  </si>
  <si>
    <t>victor.harris247@stonegatetravel.com</t>
  </si>
  <si>
    <t>(529)-817-2911</t>
  </si>
  <si>
    <t>ruby.garcia248@vertexsystems.com</t>
  </si>
  <si>
    <t>(536)-828-2924</t>
  </si>
  <si>
    <t>anaya.clark249@clearbridgemedia.com</t>
  </si>
  <si>
    <t>(543)-839-2937</t>
  </si>
  <si>
    <t>ava.hall250@nimbusenergy.com</t>
  </si>
  <si>
    <t>(550)-850-2950</t>
  </si>
  <si>
    <t>liam.king251@pioneerdesign.com</t>
  </si>
  <si>
    <t>(557)-861-2963</t>
  </si>
  <si>
    <t>noah.green252@urbannest.com</t>
  </si>
  <si>
    <t>(564)-872-2976</t>
  </si>
  <si>
    <t>emma.nelson253@evergreenfoods.com</t>
  </si>
  <si>
    <t>(571)-883-2989</t>
  </si>
  <si>
    <t>olivia.perez254@harborfitness.com</t>
  </si>
  <si>
    <t>(578)-894-3002</t>
  </si>
  <si>
    <t>elijah.khan255@summitworks.com</t>
  </si>
  <si>
    <t>(585)-905-3015</t>
  </si>
  <si>
    <t>sophia.rivera256@silverlinetech.com</t>
  </si>
  <si>
    <t>(592)-916-3028</t>
  </si>
  <si>
    <t>mason.reed257@auroralearning.com</t>
  </si>
  <si>
    <t>(599)-927-3041</t>
  </si>
  <si>
    <t>isabella.johnson258@bluepeakretail.com</t>
  </si>
  <si>
    <t>(606)-938-3054</t>
  </si>
  <si>
    <t>lucas.anderson259@brightpathhealth.com</t>
  </si>
  <si>
    <t>(613)-949-3067</t>
  </si>
  <si>
    <t>mia.white260@crescentlogistics.com</t>
  </si>
  <si>
    <t>(620)-960-3080</t>
  </si>
  <si>
    <t>amelia.thompson261@northwindlabs.com</t>
  </si>
  <si>
    <t>(627)-971-3093</t>
  </si>
  <si>
    <t>harper.robinson262@mapleco.com</t>
  </si>
  <si>
    <t>(634)-982-3106</t>
  </si>
  <si>
    <t>ethan.walker263@stonegatetravel.com</t>
  </si>
  <si>
    <t>(641)-993-3119</t>
  </si>
  <si>
    <t>james.young264@vertexsystems.com</t>
  </si>
  <si>
    <t>(648)-104-3132</t>
  </si>
  <si>
    <t>charlotte.scott265@clearbridgemedia.com</t>
  </si>
  <si>
    <t>(655)-115-3145</t>
  </si>
  <si>
    <t>benjamin.adams266@nimbusenergy.com</t>
  </si>
  <si>
    <t>(662)-126-3158</t>
  </si>
  <si>
    <t>evelyn.mitchell267@pioneerdesign.com</t>
  </si>
  <si>
    <t>(669)-137-3171</t>
  </si>
  <si>
    <t>aria.singh268@urbannest.com</t>
  </si>
  <si>
    <t>(676)-148-3184</t>
  </si>
  <si>
    <t>henry.ali269@evergreenfoods.com</t>
  </si>
  <si>
    <t>(683)-159-3197</t>
  </si>
  <si>
    <t>aiden.murphy270@harborfitness.com</t>
  </si>
  <si>
    <t>(690)-170-3210</t>
  </si>
  <si>
    <t>scarlett.smith271@summitworks.com</t>
  </si>
  <si>
    <t>(697)-181-3223</t>
  </si>
  <si>
    <t>ella.taylor272@silverlinetech.com</t>
  </si>
  <si>
    <t>(704)-192-3236</t>
  </si>
  <si>
    <t>michael.jackson273@auroralearning.com</t>
  </si>
  <si>
    <t>(711)-203-3249</t>
  </si>
  <si>
    <t>daniel.martin274@bluepeakretail.com</t>
  </si>
  <si>
    <t>(718)-214-3262</t>
  </si>
  <si>
    <t>sofia.martinez275@brightpathhealth.com</t>
  </si>
  <si>
    <t>(725)-225-3275</t>
  </si>
  <si>
    <t>levi.lewis276@crescentlogistics.com</t>
  </si>
  <si>
    <t>(732)-236-3288</t>
  </si>
  <si>
    <t>mateo.allen277@northwindlabs.com</t>
  </si>
  <si>
    <t>(739)-247-3301</t>
  </si>
  <si>
    <t>neha.wright278@mapleco.com</t>
  </si>
  <si>
    <t>(746)-258-3314</t>
  </si>
  <si>
    <t>priya.baker279@stonegatetravel.com</t>
  </si>
  <si>
    <t>(753)-269-3327</t>
  </si>
  <si>
    <t>arjun.carter280@vertexsystems.com</t>
  </si>
  <si>
    <t>(760)-280-3340</t>
  </si>
  <si>
    <t>sana.patel281@clearbridgemedia.com</t>
  </si>
  <si>
    <t>(767)-291-3353</t>
  </si>
  <si>
    <t>riya.sharma282@nimbusenergy.com</t>
  </si>
  <si>
    <t>(774)-302-3366</t>
  </si>
  <si>
    <t>kabir.campbell283@pioneerdesign.com</t>
  </si>
  <si>
    <t>(781)-313-3379</t>
  </si>
  <si>
    <t>zara.brooks284@urbannest.com</t>
  </si>
  <si>
    <t>(788)-324-3392</t>
  </si>
  <si>
    <t>omar.brown285@evergreenfoods.com</t>
  </si>
  <si>
    <t>(795)-335-3405</t>
  </si>
  <si>
    <t>layla.thomas286@harborfitness.com</t>
  </si>
  <si>
    <t>(802)-346-3418</t>
  </si>
  <si>
    <t>fatima.harris287@summitworks.com</t>
  </si>
  <si>
    <t>(809)-357-3431</t>
  </si>
  <si>
    <t>hugo.garcia288@silverlinetech.com</t>
  </si>
  <si>
    <t>(816)-368-3444</t>
  </si>
  <si>
    <t>nina.clark289@auroralearning.com</t>
  </si>
  <si>
    <t>(823)-379-3457</t>
  </si>
  <si>
    <t>leo.hall290@bluepeakretail.com</t>
  </si>
  <si>
    <t>(830)-390-3470</t>
  </si>
  <si>
    <t>grace.king291@brightpathhealth.com</t>
  </si>
  <si>
    <t>(837)-401-3483</t>
  </si>
  <si>
    <t>chloe.green292@crescentlogistics.com</t>
  </si>
  <si>
    <t>(844)-412-3496</t>
  </si>
  <si>
    <t>jack.nelson293@northwindlabs.com</t>
  </si>
  <si>
    <t>(851)-423-3509</t>
  </si>
  <si>
    <t>mila.perez294@mapleco.com</t>
  </si>
  <si>
    <t>(858)-434-3522</t>
  </si>
  <si>
    <t>david.khan295@stonegatetravel.com</t>
  </si>
  <si>
    <t>(865)-445-3535</t>
  </si>
  <si>
    <t>hannah.rivera296@vertexsystems.com</t>
  </si>
  <si>
    <t>(872)-456-3548</t>
  </si>
  <si>
    <t>victor.reed297@clearbridgemedia.com</t>
  </si>
  <si>
    <t>(879)-467-3561</t>
  </si>
  <si>
    <t>ruby.johnson298@nimbusenergy.com</t>
  </si>
  <si>
    <t>(886)-478-3574</t>
  </si>
  <si>
    <t>anaya.anderson299@pioneerdesign.com</t>
  </si>
  <si>
    <t>(893)-489-3587</t>
  </si>
  <si>
    <t>ava.white300@urbannest.com</t>
  </si>
  <si>
    <t>(200)-500-3600</t>
  </si>
  <si>
    <t>liam.thompson301@evergreenfoods.com</t>
  </si>
  <si>
    <t>(207)-511-3613</t>
  </si>
  <si>
    <t>noah.robinson302@harborfitness.com</t>
  </si>
  <si>
    <t>(214)-522-3626</t>
  </si>
  <si>
    <t>emma.walker303@summitworks.com</t>
  </si>
  <si>
    <t>(221)-533-3639</t>
  </si>
  <si>
    <t>olivia.young304@silverlinetech.com</t>
  </si>
  <si>
    <t>(228)-544-3652</t>
  </si>
  <si>
    <t>elijah.scott305@auroralearning.com</t>
  </si>
  <si>
    <t>(235)-555-3665</t>
  </si>
  <si>
    <t>sophia.adams306@bluepeakretail.com</t>
  </si>
  <si>
    <t>(242)-566-3678</t>
  </si>
  <si>
    <t>mason.mitchell307@brightpathhealth.com</t>
  </si>
  <si>
    <t>(249)-577-3691</t>
  </si>
  <si>
    <t>isabella.singh308@crescentlogistics.com</t>
  </si>
  <si>
    <t>(256)-588-3704</t>
  </si>
  <si>
    <t>lucas.ali309@northwindlabs.com</t>
  </si>
  <si>
    <t>(263)-599-3717</t>
  </si>
  <si>
    <t>mia.murphy310@mapleco.com</t>
  </si>
  <si>
    <t>(270)-610-3730</t>
  </si>
  <si>
    <t>amelia.smith311@stonegatetravel.com</t>
  </si>
  <si>
    <t>(277)-621-3743</t>
  </si>
  <si>
    <t>harper.taylor312@vertexsystems.com</t>
  </si>
  <si>
    <t>(284)-632-3756</t>
  </si>
  <si>
    <t>ethan.jackson313@clearbridgemedia.com</t>
  </si>
  <si>
    <t>(291)-643-3769</t>
  </si>
  <si>
    <t>james.martin314@nimbusenergy.com</t>
  </si>
  <si>
    <t>(298)-654-3782</t>
  </si>
  <si>
    <t>charlotte.martinez315@pioneerdesign.com</t>
  </si>
  <si>
    <t>(305)-665-3795</t>
  </si>
  <si>
    <t>benjamin.lewis316@urbannest.com</t>
  </si>
  <si>
    <t>(312)-676-3808</t>
  </si>
  <si>
    <t>evelyn.allen317@evergreenfoods.com</t>
  </si>
  <si>
    <t>(319)-687-3821</t>
  </si>
  <si>
    <t>aria.wright318@harborfitness.com</t>
  </si>
  <si>
    <t>(326)-698-3834</t>
  </si>
  <si>
    <t>henry.baker319@summitworks.com</t>
  </si>
  <si>
    <t>(333)-709-3847</t>
  </si>
  <si>
    <t>aiden.carter320@silverlinetech.com</t>
  </si>
  <si>
    <t>(340)-720-3860</t>
  </si>
  <si>
    <t>scarlett.patel321@auroralearning.com</t>
  </si>
  <si>
    <t>(347)-731-3873</t>
  </si>
  <si>
    <t>ella.sharma322@bluepeakretail.com</t>
  </si>
  <si>
    <t>(354)-742-3886</t>
  </si>
  <si>
    <t>michael.campbell323@brightpathhealth.com</t>
  </si>
  <si>
    <t>(361)-753-3899</t>
  </si>
  <si>
    <t>daniel.brooks324@crescentlogistics.com</t>
  </si>
  <si>
    <t>(368)-764-3912</t>
  </si>
  <si>
    <t>sofia.brown325@northwindlabs.com</t>
  </si>
  <si>
    <t>(375)-775-3925</t>
  </si>
  <si>
    <t>levi.thomas326@mapleco.com</t>
  </si>
  <si>
    <t>(382)-786-3938</t>
  </si>
  <si>
    <t>mateo.harris327@stonegatetravel.com</t>
  </si>
  <si>
    <t>(389)-797-3951</t>
  </si>
  <si>
    <t>neha.garcia328@vertexsystems.com</t>
  </si>
  <si>
    <t>(396)-808-3964</t>
  </si>
  <si>
    <t>priya.clark329@clearbridgemedia.com</t>
  </si>
  <si>
    <t>(403)-819-3977</t>
  </si>
  <si>
    <t>arjun.hall330@nimbusenergy.com</t>
  </si>
  <si>
    <t>(410)-830-3990</t>
  </si>
  <si>
    <t>sana.king331@pioneerdesign.com</t>
  </si>
  <si>
    <t>(417)-841-4003</t>
  </si>
  <si>
    <t>riya.green332@urbannest.com</t>
  </si>
  <si>
    <t>(424)-852-4016</t>
  </si>
  <si>
    <t>kabir.nelson333@evergreenfoods.com</t>
  </si>
  <si>
    <t>(431)-863-4029</t>
  </si>
  <si>
    <t>zara.perez334@harborfitness.com</t>
  </si>
  <si>
    <t>(438)-874-4042</t>
  </si>
  <si>
    <t>omar.khan335@summitworks.com</t>
  </si>
  <si>
    <t>(445)-885-4055</t>
  </si>
  <si>
    <t>layla.rivera336@silverlinetech.com</t>
  </si>
  <si>
    <t>(452)-896-4068</t>
  </si>
  <si>
    <t>fatima.reed337@auroralearning.com</t>
  </si>
  <si>
    <t>(459)-907-4081</t>
  </si>
  <si>
    <t>hugo.johnson338@bluepeakretail.com</t>
  </si>
  <si>
    <t>(466)-918-4094</t>
  </si>
  <si>
    <t>nina.anderson339@brightpathhealth.com</t>
  </si>
  <si>
    <t>(473)-929-4107</t>
  </si>
  <si>
    <t>leo.white340@crescentlogistics.com</t>
  </si>
  <si>
    <t>(480)-940-4120</t>
  </si>
  <si>
    <t>grace.thompson341@northwindlabs.com</t>
  </si>
  <si>
    <t>(487)-951-4133</t>
  </si>
  <si>
    <t>chloe.robinson342@mapleco.com</t>
  </si>
  <si>
    <t>(494)-962-4146</t>
  </si>
  <si>
    <t>jack.walker343@stonegatetravel.com</t>
  </si>
  <si>
    <t>(501)-973-4159</t>
  </si>
  <si>
    <t>mila.young344@vertexsystems.com</t>
  </si>
  <si>
    <t>(508)-984-4172</t>
  </si>
  <si>
    <t>david.scott345@clearbridgemedia.com</t>
  </si>
  <si>
    <t>(515)-995-4185</t>
  </si>
  <si>
    <t>hannah.adams346@nimbusenergy.com</t>
  </si>
  <si>
    <t>(522)-106-4198</t>
  </si>
  <si>
    <t>victor.mitchell347@pioneerdesign.com</t>
  </si>
  <si>
    <t>(529)-117-4211</t>
  </si>
  <si>
    <t>ruby.singh348@urbannest.com</t>
  </si>
  <si>
    <t>(536)-128-4224</t>
  </si>
  <si>
    <t>anaya.ali349@evergreenfoods.com</t>
  </si>
  <si>
    <t>(543)-139-4237</t>
  </si>
  <si>
    <t>ava.murphy350@harborfitness.com</t>
  </si>
  <si>
    <t>(550)-150-4250</t>
  </si>
  <si>
    <t>liam.smith351@summitworks.com</t>
  </si>
  <si>
    <t>(557)-161-4263</t>
  </si>
  <si>
    <t>noah.taylor352@silverlinetech.com</t>
  </si>
  <si>
    <t>(564)-172-4276</t>
  </si>
  <si>
    <t>emma.jackson353@auroralearning.com</t>
  </si>
  <si>
    <t>(571)-183-4289</t>
  </si>
  <si>
    <t>olivia.martin354@bluepeakretail.com</t>
  </si>
  <si>
    <t>(578)-194-4302</t>
  </si>
  <si>
    <t>elijah.martinez355@brightpathhealth.com</t>
  </si>
  <si>
    <t>(585)-205-4315</t>
  </si>
  <si>
    <t>sophia.lewis356@crescentlogistics.com</t>
  </si>
  <si>
    <t>(592)-216-4328</t>
  </si>
  <si>
    <t>mason.allen357@northwindlabs.com</t>
  </si>
  <si>
    <t>(599)-227-4341</t>
  </si>
  <si>
    <t>isabella.wright358@mapleco.com</t>
  </si>
  <si>
    <t>(606)-238-4354</t>
  </si>
  <si>
    <t>lucas.baker359@stonegatetravel.com</t>
  </si>
  <si>
    <t>(613)-249-4367</t>
  </si>
  <si>
    <t>mia.carter360@vertexsystems.com</t>
  </si>
  <si>
    <t>(620)-260-4380</t>
  </si>
  <si>
    <t>amelia.patel361@clearbridgemedia.com</t>
  </si>
  <si>
    <t>(627)-271-4393</t>
  </si>
  <si>
    <t>harper.sharma362@nimbusenergy.com</t>
  </si>
  <si>
    <t>(634)-282-4406</t>
  </si>
  <si>
    <t>ethan.campbell363@pioneerdesign.com</t>
  </si>
  <si>
    <t>(641)-293-4419</t>
  </si>
  <si>
    <t>james.brooks364@urbannest.com</t>
  </si>
  <si>
    <t>(648)-304-4432</t>
  </si>
  <si>
    <t>charlotte.brown365@evergreenfoods.com</t>
  </si>
  <si>
    <t>(655)-315-4445</t>
  </si>
  <si>
    <t>benjamin.thomas366@harborfitness.com</t>
  </si>
  <si>
    <t>(662)-326-4458</t>
  </si>
  <si>
    <t>evelyn.harris367@summitworks.com</t>
  </si>
  <si>
    <t>(669)-337-4471</t>
  </si>
  <si>
    <t>aria.garcia368@silverlinetech.com</t>
  </si>
  <si>
    <t>(676)-348-4484</t>
  </si>
  <si>
    <t>henry.clark369@auroralearning.com</t>
  </si>
  <si>
    <t>(683)-359-4497</t>
  </si>
  <si>
    <t>aiden.hall370@bluepeakretail.com</t>
  </si>
  <si>
    <t>(690)-370-4510</t>
  </si>
  <si>
    <t>scarlett.king371@brightpathhealth.com</t>
  </si>
  <si>
    <t>(697)-381-4523</t>
  </si>
  <si>
    <t>ella.green372@crescentlogistics.com</t>
  </si>
  <si>
    <t>(704)-392-4536</t>
  </si>
  <si>
    <t>michael.nelson373@northwindlabs.com</t>
  </si>
  <si>
    <t>(711)-403-4549</t>
  </si>
  <si>
    <t>daniel.perez374@mapleco.com</t>
  </si>
  <si>
    <t>(718)-414-4562</t>
  </si>
  <si>
    <t>sofia.khan375@stonegatetravel.com</t>
  </si>
  <si>
    <t>(725)-425-4575</t>
  </si>
  <si>
    <t>levi.rivera376@vertexsystems.com</t>
  </si>
  <si>
    <t>(732)-436-4588</t>
  </si>
  <si>
    <t>mateo.reed377@clearbridgemedia.com</t>
  </si>
  <si>
    <t>(739)-447-4601</t>
  </si>
  <si>
    <t>neha.johnson378@nimbusenergy.com</t>
  </si>
  <si>
    <t>(746)-458-4614</t>
  </si>
  <si>
    <t>priya.anderson379@pioneerdesign.com</t>
  </si>
  <si>
    <t>(753)-469-4627</t>
  </si>
  <si>
    <t>arjun.white380@urbannest.com</t>
  </si>
  <si>
    <t>(760)-480-4640</t>
  </si>
  <si>
    <t>sana.thompson381@evergreenfoods.com</t>
  </si>
  <si>
    <t>(767)-491-4653</t>
  </si>
  <si>
    <t>riya.robinson382@harborfitness.com</t>
  </si>
  <si>
    <t>(774)-502-4666</t>
  </si>
  <si>
    <t>kabir.walker383@summitworks.com</t>
  </si>
  <si>
    <t>(781)-513-4679</t>
  </si>
  <si>
    <t>zara.young384@silverlinetech.com</t>
  </si>
  <si>
    <t>(788)-524-4692</t>
  </si>
  <si>
    <t>omar.scott385@auroralearning.com</t>
  </si>
  <si>
    <t>(795)-535-4705</t>
  </si>
  <si>
    <t>layla.adams386@bluepeakretail.com</t>
  </si>
  <si>
    <t>(802)-546-4718</t>
  </si>
  <si>
    <t>fatima.mitchell387@brightpathhealth.com</t>
  </si>
  <si>
    <t>(809)-557-4731</t>
  </si>
  <si>
    <t>hugo.singh388@crescentlogistics.com</t>
  </si>
  <si>
    <t>(816)-568-4744</t>
  </si>
  <si>
    <t>nina.ali389@northwindlabs.com</t>
  </si>
  <si>
    <t>(823)-579-4757</t>
  </si>
  <si>
    <t>leo.murphy390@mapleco.com</t>
  </si>
  <si>
    <t>(830)-590-4770</t>
  </si>
  <si>
    <t>grace.smith391@stonegatetravel.com</t>
  </si>
  <si>
    <t>(837)-601-4783</t>
  </si>
  <si>
    <t>chloe.taylor392@vertexsystems.com</t>
  </si>
  <si>
    <t>(844)-612-4796</t>
  </si>
  <si>
    <t>jack.jackson393@clearbridgemedia.com</t>
  </si>
  <si>
    <t>(851)-623-4809</t>
  </si>
  <si>
    <t>mila.martin394@nimbusenergy.com</t>
  </si>
  <si>
    <t>(858)-634-4822</t>
  </si>
  <si>
    <t>david.martinez395@pioneerdesign.com</t>
  </si>
  <si>
    <t>(865)-645-4835</t>
  </si>
  <si>
    <t>hannah.lewis396@urbannest.com</t>
  </si>
  <si>
    <t>(872)-656-4848</t>
  </si>
  <si>
    <t>victor.allen397@evergreenfoods.com</t>
  </si>
  <si>
    <t>(879)-667-4861</t>
  </si>
  <si>
    <t>ruby.wright398@harborfitness.com</t>
  </si>
  <si>
    <t>(886)-678-4874</t>
  </si>
  <si>
    <t>anaya.baker399@summitworks.com</t>
  </si>
  <si>
    <t>(893)-689-4887</t>
  </si>
  <si>
    <t>ava.carter400@silverlinetech.com</t>
  </si>
  <si>
    <t>(200)-700-4900</t>
  </si>
  <si>
    <t>liam.patel401@auroralearning.com</t>
  </si>
  <si>
    <t>(207)-711-4913</t>
  </si>
  <si>
    <t>noah.sharma402@bluepeakretail.com</t>
  </si>
  <si>
    <t>(214)-722-4926</t>
  </si>
  <si>
    <t>emma.campbell403@brightpathhealth.com</t>
  </si>
  <si>
    <t>(221)-733-4939</t>
  </si>
  <si>
    <t>olivia.brooks404@crescentlogistics.com</t>
  </si>
  <si>
    <t>(228)-744-4952</t>
  </si>
  <si>
    <t>elijah.brown405@northwindlabs.com</t>
  </si>
  <si>
    <t>(235)-755-4965</t>
  </si>
  <si>
    <t>sophia.thomas406@mapleco.com</t>
  </si>
  <si>
    <t>(242)-766-4978</t>
  </si>
  <si>
    <t>mason.harris407@stonegatetravel.com</t>
  </si>
  <si>
    <t>(249)-777-4991</t>
  </si>
  <si>
    <t>isabella.garcia408@vertexsystems.com</t>
  </si>
  <si>
    <t>(256)-788-5004</t>
  </si>
  <si>
    <t>lucas.clark409@clearbridgemedia.com</t>
  </si>
  <si>
    <t>(263)-799-5017</t>
  </si>
  <si>
    <t>mia.hall410@nimbusenergy.com</t>
  </si>
  <si>
    <t>(270)-810-5030</t>
  </si>
  <si>
    <t>amelia.king411@pioneerdesign.com</t>
  </si>
  <si>
    <t>(277)-821-5043</t>
  </si>
  <si>
    <t>harper.green412@urbannest.com</t>
  </si>
  <si>
    <t>(284)-832-5056</t>
  </si>
  <si>
    <t>ethan.nelson413@evergreenfoods.com</t>
  </si>
  <si>
    <t>(291)-843-5069</t>
  </si>
  <si>
    <t>james.perez414@harborfitness.com</t>
  </si>
  <si>
    <t>(298)-854-5082</t>
  </si>
  <si>
    <t>charlotte.khan415@summitworks.com</t>
  </si>
  <si>
    <t>(305)-865-5095</t>
  </si>
  <si>
    <t>benjamin.rivera416@silverlinetech.com</t>
  </si>
  <si>
    <t>(312)-876-5108</t>
  </si>
  <si>
    <t>evelyn.reed417@auroralearning.com</t>
  </si>
  <si>
    <t>(319)-887-5121</t>
  </si>
  <si>
    <t>aria.johnson418@bluepeakretail.com</t>
  </si>
  <si>
    <t>(326)-898-5134</t>
  </si>
  <si>
    <t>henry.anderson419@brightpathhealth.com</t>
  </si>
  <si>
    <t>(333)-909-5147</t>
  </si>
  <si>
    <t>aiden.white420@crescentlogistics.com</t>
  </si>
  <si>
    <t>(340)-920-5160</t>
  </si>
  <si>
    <t>scarlett.thompson421@northwindlabs.com</t>
  </si>
  <si>
    <t>(347)-931-5173</t>
  </si>
  <si>
    <t>ella.robinson422@mapleco.com</t>
  </si>
  <si>
    <t>(354)-942-5186</t>
  </si>
  <si>
    <t>michael.walker423@stonegatetravel.com</t>
  </si>
  <si>
    <t>(361)-953-5199</t>
  </si>
  <si>
    <t>daniel.young424@vertexsystems.com</t>
  </si>
  <si>
    <t>(368)-964-5212</t>
  </si>
  <si>
    <t>sofia.scott425@clearbridgemedia.com</t>
  </si>
  <si>
    <t>(375)-975-5225</t>
  </si>
  <si>
    <t>levi.adams426@nimbusenergy.com</t>
  </si>
  <si>
    <t>(382)-986-5238</t>
  </si>
  <si>
    <t>mateo.mitchell427@pioneerdesign.com</t>
  </si>
  <si>
    <t>(389)-997-5251</t>
  </si>
  <si>
    <t>neha.singh428@urbannest.com</t>
  </si>
  <si>
    <t>(396)-108-5264</t>
  </si>
  <si>
    <t>priya.ali429@evergreenfoods.com</t>
  </si>
  <si>
    <t>(403)-119-5277</t>
  </si>
  <si>
    <t>arjun.murphy430@harborfitness.com</t>
  </si>
  <si>
    <t>(410)-130-5290</t>
  </si>
  <si>
    <t>sana.smith431@summitworks.com</t>
  </si>
  <si>
    <t>(417)-141-5303</t>
  </si>
  <si>
    <t>riya.taylor432@silverlinetech.com</t>
  </si>
  <si>
    <t>(424)-152-5316</t>
  </si>
  <si>
    <t>kabir.jackson433@auroralearning.com</t>
  </si>
  <si>
    <t>(431)-163-5329</t>
  </si>
  <si>
    <t>zara.martin434@bluepeakretail.com</t>
  </si>
  <si>
    <t>(438)-174-5342</t>
  </si>
  <si>
    <t>omar.martinez435@brightpathhealth.com</t>
  </si>
  <si>
    <t>(445)-185-5355</t>
  </si>
  <si>
    <t>layla.lewis436@crescentlogistics.com</t>
  </si>
  <si>
    <t>(452)-196-5368</t>
  </si>
  <si>
    <t>fatima.allen437@northwindlabs.com</t>
  </si>
  <si>
    <t>(459)-207-5381</t>
  </si>
  <si>
    <t>hugo.wright438@mapleco.com</t>
  </si>
  <si>
    <t>(466)-218-5394</t>
  </si>
  <si>
    <t>nina.baker439@stonegatetravel.com</t>
  </si>
  <si>
    <t>(473)-229-5407</t>
  </si>
  <si>
    <t>leo.carter440@vertexsystems.com</t>
  </si>
  <si>
    <t>(480)-240-5420</t>
  </si>
  <si>
    <t>grace.patel441@clearbridgemedia.com</t>
  </si>
  <si>
    <t>(487)-251-5433</t>
  </si>
  <si>
    <t>chloe.sharma442@nimbusenergy.com</t>
  </si>
  <si>
    <t>(494)-262-5446</t>
  </si>
  <si>
    <t>jack.campbell443@pioneerdesign.com</t>
  </si>
  <si>
    <t>(501)-273-5459</t>
  </si>
  <si>
    <t>mila.brooks444@urbannest.com</t>
  </si>
  <si>
    <t>(508)-284-5472</t>
  </si>
  <si>
    <t>david.brown445@evergreenfoods.com</t>
  </si>
  <si>
    <t>(515)-295-5485</t>
  </si>
  <si>
    <t>hannah.thomas446@harborfitness.com</t>
  </si>
  <si>
    <t>(522)-306-5498</t>
  </si>
  <si>
    <t>victor.harris447@summitworks.com</t>
  </si>
  <si>
    <t>(529)-317-5511</t>
  </si>
  <si>
    <t>ruby.garcia448@silverlinetech.com</t>
  </si>
  <si>
    <t>(536)-328-5524</t>
  </si>
  <si>
    <t>anaya.clark449@auroralearning.com</t>
  </si>
  <si>
    <t>(543)-339-5537</t>
  </si>
  <si>
    <t>ava.hall450@bluepeakretail.com</t>
  </si>
  <si>
    <t>(550)-350-5550</t>
  </si>
  <si>
    <t>liam.king451@brightpathhealth.com</t>
  </si>
  <si>
    <t>(557)-361-5563</t>
  </si>
  <si>
    <t>noah.green452@crescentlogistics.com</t>
  </si>
  <si>
    <t>(564)-372-5576</t>
  </si>
  <si>
    <t>emma.nelson453@northwindlabs.com</t>
  </si>
  <si>
    <t>(571)-383-5589</t>
  </si>
  <si>
    <t>olivia.perez454@mapleco.com</t>
  </si>
  <si>
    <t>(578)-394-5602</t>
  </si>
  <si>
    <t>elijah.khan455@stonegatetravel.com</t>
  </si>
  <si>
    <t>(585)-405-5615</t>
  </si>
  <si>
    <t>sophia.rivera456@vertexsystems.com</t>
  </si>
  <si>
    <t>(592)-416-5628</t>
  </si>
  <si>
    <t>mason.reed457@clearbridgemedia.com</t>
  </si>
  <si>
    <t>(599)-427-5641</t>
  </si>
  <si>
    <t>isabella.johnson458@nimbusenergy.com</t>
  </si>
  <si>
    <t>(606)-438-5654</t>
  </si>
  <si>
    <t>lucas.anderson459@pioneerdesign.com</t>
  </si>
  <si>
    <t>(613)-449-5667</t>
  </si>
  <si>
    <t>mia.white460@urbannest.com</t>
  </si>
  <si>
    <t>(620)-460-5680</t>
  </si>
  <si>
    <t>amelia.thompson461@evergreenfoods.com</t>
  </si>
  <si>
    <t>(627)-471-5693</t>
  </si>
  <si>
    <t>harper.robinson462@harborfitness.com</t>
  </si>
  <si>
    <t>(634)-482-5706</t>
  </si>
  <si>
    <t>ethan.walker463@summitworks.com</t>
  </si>
  <si>
    <t>(641)-493-5719</t>
  </si>
  <si>
    <t>james.young464@silverlinetech.com</t>
  </si>
  <si>
    <t>(648)-504-5732</t>
  </si>
  <si>
    <t>charlotte.scott465@auroralearning.com</t>
  </si>
  <si>
    <t>(655)-515-5745</t>
  </si>
  <si>
    <t>benjamin.adams466@bluepeakretail.com</t>
  </si>
  <si>
    <t>(662)-526-5758</t>
  </si>
  <si>
    <t>evelyn.mitchell467@brightpathhealth.com</t>
  </si>
  <si>
    <t>(669)-537-5771</t>
  </si>
  <si>
    <t>aria.singh468@crescentlogistics.com</t>
  </si>
  <si>
    <t>(676)-548-5784</t>
  </si>
  <si>
    <t>henry.ali469@northwindlabs.com</t>
  </si>
  <si>
    <t>(683)-559-5797</t>
  </si>
  <si>
    <t>aiden.murphy470@mapleco.com</t>
  </si>
  <si>
    <t>(690)-570-5810</t>
  </si>
  <si>
    <t>scarlett.smith471@stonegatetravel.com</t>
  </si>
  <si>
    <t>(697)-581-5823</t>
  </si>
  <si>
    <t>ella.taylor472@vertexsystems.com</t>
  </si>
  <si>
    <t>(704)-592-5836</t>
  </si>
  <si>
    <t>michael.jackson473@clearbridgemedia.com</t>
  </si>
  <si>
    <t>(711)-603-5849</t>
  </si>
  <si>
    <t>daniel.martin474@nimbusenergy.com</t>
  </si>
  <si>
    <t>(718)-614-5862</t>
  </si>
  <si>
    <t>sofia.martinez475@pioneerdesign.com</t>
  </si>
  <si>
    <t>(725)-625-5875</t>
  </si>
  <si>
    <t>levi.lewis476@urbannest.com</t>
  </si>
  <si>
    <t>(732)-636-5888</t>
  </si>
  <si>
    <t>mateo.allen477@evergreenfoods.com</t>
  </si>
  <si>
    <t>(739)-647-5901</t>
  </si>
  <si>
    <t>neha.wright478@harborfitness.com</t>
  </si>
  <si>
    <t>(746)-658-5914</t>
  </si>
  <si>
    <t>priya.baker479@summitworks.com</t>
  </si>
  <si>
    <t>(753)-669-5927</t>
  </si>
  <si>
    <t>arjun.carter480@silverlinetech.com</t>
  </si>
  <si>
    <t>(760)-680-5940</t>
  </si>
  <si>
    <t>sana.patel481@auroralearning.com</t>
  </si>
  <si>
    <t>(767)-691-5953</t>
  </si>
  <si>
    <t>riya.sharma482@bluepeakretail.com</t>
  </si>
  <si>
    <t>(774)-702-5966</t>
  </si>
  <si>
    <t>kabir.campbell483@brightpathhealth.com</t>
  </si>
  <si>
    <t>(781)-713-5979</t>
  </si>
  <si>
    <t>zara.brooks484@crescentlogistics.com</t>
  </si>
  <si>
    <t>(788)-724-5992</t>
  </si>
  <si>
    <t>omar.brown485@northwindlabs.com</t>
  </si>
  <si>
    <t>(795)-735-6005</t>
  </si>
  <si>
    <t>layla.thomas486@mapleco.com</t>
  </si>
  <si>
    <t>(802)-746-6018</t>
  </si>
  <si>
    <t>fatima.harris487@stonegatetravel.com</t>
  </si>
  <si>
    <t>(809)-757-6031</t>
  </si>
  <si>
    <t>hugo.garcia488@vertexsystems.com</t>
  </si>
  <si>
    <t>(816)-768-6044</t>
  </si>
  <si>
    <t>nina.clark489@clearbridgemedia.com</t>
  </si>
  <si>
    <t>(823)-779-6057</t>
  </si>
  <si>
    <t>leo.hall490@nimbusenergy.com</t>
  </si>
  <si>
    <t>(830)-790-6070</t>
  </si>
  <si>
    <t>grace.king491@pioneerdesign.com</t>
  </si>
  <si>
    <t>(837)-801-6083</t>
  </si>
  <si>
    <t>chloe.green492@urbannest.com</t>
  </si>
  <si>
    <t>(844)-812-6096</t>
  </si>
  <si>
    <t>jack.nelson493@evergreenfoods.com</t>
  </si>
  <si>
    <t>(851)-823-6109</t>
  </si>
  <si>
    <t>mila.perez494@harborfitness.com</t>
  </si>
  <si>
    <t>(858)-834-6122</t>
  </si>
  <si>
    <t>david.khan495@summitworks.com</t>
  </si>
  <si>
    <t>(865)-845-6135</t>
  </si>
  <si>
    <t>hannah.rivera496@silverlinetech.com</t>
  </si>
  <si>
    <t>(872)-856-6148</t>
  </si>
  <si>
    <t>victor.reed497@auroralearning.com</t>
  </si>
  <si>
    <t>(879)-867-6161</t>
  </si>
  <si>
    <t>ruby.johnson498@bluepeakretail.com</t>
  </si>
  <si>
    <t>(886)-878-6174</t>
  </si>
  <si>
    <t>anaya.anderson499@brightpathhealth.com</t>
  </si>
  <si>
    <t>(893)-889-6187</t>
  </si>
  <si>
    <t>ava.white500@crescentlogistics.com</t>
  </si>
  <si>
    <t>(200)-900-6200</t>
  </si>
  <si>
    <t>liam.thompson501@northwindlabs.com</t>
  </si>
  <si>
    <t>(207)-911-6213</t>
  </si>
  <si>
    <t>noah.robinson502@mapleco.com</t>
  </si>
  <si>
    <t>(214)-922-6226</t>
  </si>
  <si>
    <t>emma.walker503@stonegatetravel.com</t>
  </si>
  <si>
    <t>(221)-933-6239</t>
  </si>
  <si>
    <t>olivia.young504@vertexsystems.com</t>
  </si>
  <si>
    <t>(228)-944-6252</t>
  </si>
  <si>
    <t>elijah.scott505@clearbridgemedia.com</t>
  </si>
  <si>
    <t>(235)-955-6265</t>
  </si>
  <si>
    <t>sophia.adams506@nimbusenergy.com</t>
  </si>
  <si>
    <t>(242)-966-6278</t>
  </si>
  <si>
    <t>mason.mitchell507@pioneerdesign.com</t>
  </si>
  <si>
    <t>(249)-977-6291</t>
  </si>
  <si>
    <t>isabella.singh508@urbannest.com</t>
  </si>
  <si>
    <t>(256)-988-6304</t>
  </si>
  <si>
    <t>lucas.ali509@evergreenfoods.com</t>
  </si>
  <si>
    <t>(263)-999-6317</t>
  </si>
  <si>
    <t>mia.murphy510@harborfitness.com</t>
  </si>
  <si>
    <t>(270)-110-6330</t>
  </si>
  <si>
    <t>amelia.smith511@summitworks.com</t>
  </si>
  <si>
    <t>(277)-121-6343</t>
  </si>
  <si>
    <t>harper.taylor512@silverlinetech.com</t>
  </si>
  <si>
    <t>(284)-132-6356</t>
  </si>
  <si>
    <t>ethan.jackson513@auroralearning.com</t>
  </si>
  <si>
    <t>(291)-143-6369</t>
  </si>
  <si>
    <t>james.martin514@bluepeakretail.com</t>
  </si>
  <si>
    <t>(298)-154-6382</t>
  </si>
  <si>
    <t>charlotte.martinez515@brightpathhealth.com</t>
  </si>
  <si>
    <t>(305)-165-6395</t>
  </si>
  <si>
    <t>benjamin.lewis516@crescentlogistics.com</t>
  </si>
  <si>
    <t>(312)-176-6408</t>
  </si>
  <si>
    <t>evelyn.allen517@northwindlabs.com</t>
  </si>
  <si>
    <t>(319)-187-6421</t>
  </si>
  <si>
    <t>aria.wright518@mapleco.com</t>
  </si>
  <si>
    <t>(326)-198-6434</t>
  </si>
  <si>
    <t>henry.baker519@stonegatetravel.com</t>
  </si>
  <si>
    <t>(333)-209-6447</t>
  </si>
  <si>
    <t>aiden.carter520@vertexsystems.com</t>
  </si>
  <si>
    <t>(340)-220-6460</t>
  </si>
  <si>
    <t>scarlett.patel521@clearbridgemedia.com</t>
  </si>
  <si>
    <t>(347)-231-6473</t>
  </si>
  <si>
    <t>ella.sharma522@nimbusenergy.com</t>
  </si>
  <si>
    <t>(354)-242-6486</t>
  </si>
  <si>
    <t>michael.campbell523@pioneerdesign.com</t>
  </si>
  <si>
    <t>(361)-253-6499</t>
  </si>
  <si>
    <t>daniel.brooks524@urbannest.com</t>
  </si>
  <si>
    <t>(368)-264-6512</t>
  </si>
  <si>
    <t>sofia.brown525@evergreenfoods.com</t>
  </si>
  <si>
    <t>(375)-275-6525</t>
  </si>
  <si>
    <t>levi.thomas526@harborfitness.com</t>
  </si>
  <si>
    <t>(382)-286-6538</t>
  </si>
  <si>
    <t>mateo.harris527@summitworks.com</t>
  </si>
  <si>
    <t>(389)-297-6551</t>
  </si>
  <si>
    <t>neha.garcia528@silverlinetech.com</t>
  </si>
  <si>
    <t>(396)-308-6564</t>
  </si>
  <si>
    <t>priya.clark529@auroralearning.com</t>
  </si>
  <si>
    <t>(403)-319-6577</t>
  </si>
  <si>
    <t>arjun.hall530@bluepeakretail.com</t>
  </si>
  <si>
    <t>(410)-330-6590</t>
  </si>
  <si>
    <t>sana.king531@brightpathhealth.com</t>
  </si>
  <si>
    <t>(417)-341-6603</t>
  </si>
  <si>
    <t>riya.green532@crescentlogistics.com</t>
  </si>
  <si>
    <t>(424)-352-6616</t>
  </si>
  <si>
    <t>kabir.nelson533@northwindlabs.com</t>
  </si>
  <si>
    <t>(431)-363-6629</t>
  </si>
  <si>
    <t>zara.perez534@mapleco.com</t>
  </si>
  <si>
    <t>(438)-374-6642</t>
  </si>
  <si>
    <t>omar.khan535@stonegatetravel.com</t>
  </si>
  <si>
    <t>(445)-385-6655</t>
  </si>
  <si>
    <t>layla.rivera536@vertexsystems.com</t>
  </si>
  <si>
    <t>(452)-396-6668</t>
  </si>
  <si>
    <t>fatima.reed537@clearbridgemedia.com</t>
  </si>
  <si>
    <t>(459)-407-6681</t>
  </si>
  <si>
    <t>hugo.johnson538@nimbusenergy.com</t>
  </si>
  <si>
    <t>(466)-418-6694</t>
  </si>
  <si>
    <t>nina.anderson539@pioneerdesign.com</t>
  </si>
  <si>
    <t>(473)-429-6707</t>
  </si>
  <si>
    <t>leo.white540@urbannest.com</t>
  </si>
  <si>
    <t>(480)-440-6720</t>
  </si>
  <si>
    <t>grace.thompson541@evergreenfoods.com</t>
  </si>
  <si>
    <t>(487)-451-6733</t>
  </si>
  <si>
    <t>chloe.robinson542@harborfitness.com</t>
  </si>
  <si>
    <t>(494)-462-6746</t>
  </si>
  <si>
    <t>jack.walker543@summitworks.com</t>
  </si>
  <si>
    <t>(501)-473-6759</t>
  </si>
  <si>
    <t>mila.young544@silverlinetech.com</t>
  </si>
  <si>
    <t>(508)-484-6772</t>
  </si>
  <si>
    <t>david.scott545@auroralearning.com</t>
  </si>
  <si>
    <t>(515)-495-6785</t>
  </si>
  <si>
    <t>hannah.adams546@bluepeakretail.com</t>
  </si>
  <si>
    <t>(522)-506-6798</t>
  </si>
  <si>
    <t>victor.mitchell547@brightpathhealth.com</t>
  </si>
  <si>
    <t>(529)-517-6811</t>
  </si>
  <si>
    <t>ruby.singh548@crescentlogistics.com</t>
  </si>
  <si>
    <t>(536)-528-6824</t>
  </si>
  <si>
    <t>anaya.ali549@northwindlabs.com</t>
  </si>
  <si>
    <t>(543)-539-6837</t>
  </si>
  <si>
    <t>ava.murphy550@mapleco.com</t>
  </si>
  <si>
    <t>(550)-550-6850</t>
  </si>
  <si>
    <t>liam.smith551@stonegatetravel.com</t>
  </si>
  <si>
    <t>(557)-561-6863</t>
  </si>
  <si>
    <t>noah.taylor552@vertexsystems.com</t>
  </si>
  <si>
    <t>(564)-572-6876</t>
  </si>
  <si>
    <t>emma.jackson553@clearbridgemedia.com</t>
  </si>
  <si>
    <t>(571)-583-6889</t>
  </si>
  <si>
    <t>olivia.martin554@nimbusenergy.com</t>
  </si>
  <si>
    <t>(578)-594-6902</t>
  </si>
  <si>
    <t>elijah.martinez555@pioneerdesign.com</t>
  </si>
  <si>
    <t>(585)-605-6915</t>
  </si>
  <si>
    <t>sophia.lewis556@urbannest.com</t>
  </si>
  <si>
    <t>(592)-616-6928</t>
  </si>
  <si>
    <t>mason.allen557@evergreenfoods.com</t>
  </si>
  <si>
    <t>(599)-627-6941</t>
  </si>
  <si>
    <t>isabella.wright558@harborfitness.com</t>
  </si>
  <si>
    <t>(606)-638-6954</t>
  </si>
  <si>
    <t>lucas.baker559@summitworks.com</t>
  </si>
  <si>
    <t>(613)-649-6967</t>
  </si>
  <si>
    <t>mia.carter560@silverlinetech.com</t>
  </si>
  <si>
    <t>(620)-660-6980</t>
  </si>
  <si>
    <t>amelia.patel561@auroralearning.com</t>
  </si>
  <si>
    <t>(627)-671-6993</t>
  </si>
  <si>
    <t>harper.sharma562@bluepeakretail.com</t>
  </si>
  <si>
    <t>(634)-682-7006</t>
  </si>
  <si>
    <t>ethan.campbell563@brightpathhealth.com</t>
  </si>
  <si>
    <t>(641)-693-7019</t>
  </si>
  <si>
    <t>james.brooks564@crescentlogistics.com</t>
  </si>
  <si>
    <t>(648)-704-7032</t>
  </si>
  <si>
    <t>charlotte.brown565@northwindlabs.com</t>
  </si>
  <si>
    <t>(655)-715-7045</t>
  </si>
  <si>
    <t>benjamin.thomas566@mapleco.com</t>
  </si>
  <si>
    <t>(662)-726-7058</t>
  </si>
  <si>
    <t>evelyn.harris567@stonegatetravel.com</t>
  </si>
  <si>
    <t>(669)-737-7071</t>
  </si>
  <si>
    <t>aria.garcia568@vertexsystems.com</t>
  </si>
  <si>
    <t>(676)-748-7084</t>
  </si>
  <si>
    <t>henry.clark569@clearbridgemedia.com</t>
  </si>
  <si>
    <t>(683)-759-7097</t>
  </si>
  <si>
    <t>aiden.hall570@nimbusenergy.com</t>
  </si>
  <si>
    <t>(690)-770-7110</t>
  </si>
  <si>
    <t>scarlett.king571@pioneerdesign.com</t>
  </si>
  <si>
    <t>(697)-781-7123</t>
  </si>
  <si>
    <t>ella.green572@urbannest.com</t>
  </si>
  <si>
    <t>(704)-792-7136</t>
  </si>
  <si>
    <t>michael.nelson573@evergreenfoods.com</t>
  </si>
  <si>
    <t>(711)-803-7149</t>
  </si>
  <si>
    <t>daniel.perez574@harborfitness.com</t>
  </si>
  <si>
    <t>(718)-814-7162</t>
  </si>
  <si>
    <t>sofia.khan575@summitworks.com</t>
  </si>
  <si>
    <t>(725)-825-7175</t>
  </si>
  <si>
    <t>levi.rivera576@silverlinetech.com</t>
  </si>
  <si>
    <t>(732)-836-7188</t>
  </si>
  <si>
    <t>mateo.reed577@auroralearning.com</t>
  </si>
  <si>
    <t>(739)-847-7201</t>
  </si>
  <si>
    <t>neha.johnson578@bluepeakretail.com</t>
  </si>
  <si>
    <t>(746)-858-7214</t>
  </si>
  <si>
    <t>priya.anderson579@brightpathhealth.com</t>
  </si>
  <si>
    <t>(753)-869-7227</t>
  </si>
  <si>
    <t>arjun.white580@crescentlogistics.com</t>
  </si>
  <si>
    <t>(760)-880-7240</t>
  </si>
  <si>
    <t>sana.thompson581@northwindlabs.com</t>
  </si>
  <si>
    <t>(767)-891-7253</t>
  </si>
  <si>
    <t>riya.robinson582@mapleco.com</t>
  </si>
  <si>
    <t>(774)-902-7266</t>
  </si>
  <si>
    <t>kabir.walker583@stonegatetravel.com</t>
  </si>
  <si>
    <t>(781)-913-7279</t>
  </si>
  <si>
    <t>zara.young584@vertexsystems.com</t>
  </si>
  <si>
    <t>(788)-924-7292</t>
  </si>
  <si>
    <t>omar.scott585@clearbridgemedia.com</t>
  </si>
  <si>
    <t>(795)-935-7305</t>
  </si>
  <si>
    <t>layla.adams586@nimbusenergy.com</t>
  </si>
  <si>
    <t>(802)-946-7318</t>
  </si>
  <si>
    <t>fatima.mitchell587@pioneerdesign.com</t>
  </si>
  <si>
    <t>(809)-957-7331</t>
  </si>
  <si>
    <t>hugo.singh588@urbannest.com</t>
  </si>
  <si>
    <t>(816)-968-7344</t>
  </si>
  <si>
    <t>nina.ali589@evergreenfoods.com</t>
  </si>
  <si>
    <t>(823)-979-7357</t>
  </si>
  <si>
    <t>leo.murphy590@harborfitness.com</t>
  </si>
  <si>
    <t>(830)-990-7370</t>
  </si>
  <si>
    <t>grace.smith591@summitworks.com</t>
  </si>
  <si>
    <t>(837)-101-7383</t>
  </si>
  <si>
    <t>chloe.taylor592@silverlinetech.com</t>
  </si>
  <si>
    <t>(844)-112-7396</t>
  </si>
  <si>
    <t>jack.jackson593@auroralearning.com</t>
  </si>
  <si>
    <t>(851)-123-7409</t>
  </si>
  <si>
    <t>mila.martin594@bluepeakretail.com</t>
  </si>
  <si>
    <t>(858)-134-7422</t>
  </si>
  <si>
    <t>david.martinez595@brightpathhealth.com</t>
  </si>
  <si>
    <t>(865)-145-7435</t>
  </si>
  <si>
    <t>hannah.lewis596@crescentlogistics.com</t>
  </si>
  <si>
    <t>(872)-156-7448</t>
  </si>
  <si>
    <t>victor.allen597@northwindlabs.com</t>
  </si>
  <si>
    <t>(879)-167-7461</t>
  </si>
  <si>
    <t>ruby.wright598@mapleco.com</t>
  </si>
  <si>
    <t>(886)-178-7474</t>
  </si>
  <si>
    <t>anaya.baker599@stonegatetravel.com</t>
  </si>
  <si>
    <t>(893)-189-7487</t>
  </si>
  <si>
    <t>ava.carter600@vertexsystems.com</t>
  </si>
  <si>
    <t>(200)-200-7500</t>
  </si>
  <si>
    <t>liam.patel601@clearbridgemedia.com</t>
  </si>
  <si>
    <t>(207)-211-7513</t>
  </si>
  <si>
    <t>noah.sharma602@nimbusenergy.com</t>
  </si>
  <si>
    <t>(214)-222-7526</t>
  </si>
  <si>
    <t>emma.campbell603@pioneerdesign.com</t>
  </si>
  <si>
    <t>(221)-233-7539</t>
  </si>
  <si>
    <t>olivia.brooks604@urbannest.com</t>
  </si>
  <si>
    <t>(228)-244-7552</t>
  </si>
  <si>
    <t>elijah.brown605@evergreenfoods.com</t>
  </si>
  <si>
    <t>(235)-255-7565</t>
  </si>
  <si>
    <t>sophia.thomas606@harborfitness.com</t>
  </si>
  <si>
    <t>(242)-266-7578</t>
  </si>
  <si>
    <t>mason.harris607@summitworks.com</t>
  </si>
  <si>
    <t>(249)-277-7591</t>
  </si>
  <si>
    <t>isabella.garcia608@silverlinetech.com</t>
  </si>
  <si>
    <t>(256)-288-7604</t>
  </si>
  <si>
    <t>lucas.clark609@auroralearning.com</t>
  </si>
  <si>
    <t>(263)-299-7617</t>
  </si>
  <si>
    <t>mia.hall610@bluepeakretail.com</t>
  </si>
  <si>
    <t>(270)-310-7630</t>
  </si>
  <si>
    <t>amelia.king611@brightpathhealth.com</t>
  </si>
  <si>
    <t>(277)-321-7643</t>
  </si>
  <si>
    <t>harper.green612@crescentlogistics.com</t>
  </si>
  <si>
    <t>(284)-332-7656</t>
  </si>
  <si>
    <t>ethan.nelson613@northwindlabs.com</t>
  </si>
  <si>
    <t>(291)-343-7669</t>
  </si>
  <si>
    <t>james.perez614@mapleco.com</t>
  </si>
  <si>
    <t>(298)-354-7682</t>
  </si>
  <si>
    <t>charlotte.khan615@stonegatetravel.com</t>
  </si>
  <si>
    <t>(305)-365-7695</t>
  </si>
  <si>
    <t>benjamin.rivera616@vertexsystems.com</t>
  </si>
  <si>
    <t>(312)-376-7708</t>
  </si>
  <si>
    <t>evelyn.reed617@clearbridgemedia.com</t>
  </si>
  <si>
    <t>(319)-387-7721</t>
  </si>
  <si>
    <t>aria.johnson618@nimbusenergy.com</t>
  </si>
  <si>
    <t>(326)-398-7734</t>
  </si>
  <si>
    <t>henry.anderson619@pioneerdesign.com</t>
  </si>
  <si>
    <t>(333)-409-7747</t>
  </si>
  <si>
    <t>aiden.white620@urbannest.com</t>
  </si>
  <si>
    <t>(340)-420-7760</t>
  </si>
  <si>
    <t>scarlett.thompson621@evergreenfoods.com</t>
  </si>
  <si>
    <t>(347)-431-7773</t>
  </si>
  <si>
    <t>ella.robinson622@harborfitness.com</t>
  </si>
  <si>
    <t>(354)-442-7786</t>
  </si>
  <si>
    <t>michael.walker623@summitworks.com</t>
  </si>
  <si>
    <t>(361)-453-7799</t>
  </si>
  <si>
    <t>daniel.young624@silverlinetech.com</t>
  </si>
  <si>
    <t>(368)-464-7812</t>
  </si>
  <si>
    <t>sofia.scott625@auroralearning.com</t>
  </si>
  <si>
    <t>(375)-475-7825</t>
  </si>
  <si>
    <t>levi.adams626@bluepeakretail.com</t>
  </si>
  <si>
    <t>(382)-486-7838</t>
  </si>
  <si>
    <t>mateo.mitchell627@brightpathhealth.com</t>
  </si>
  <si>
    <t>(389)-497-7851</t>
  </si>
  <si>
    <t>neha.singh628@crescentlogistics.com</t>
  </si>
  <si>
    <t>(396)-508-7864</t>
  </si>
  <si>
    <t>priya.ali629@northwindlabs.com</t>
  </si>
  <si>
    <t>(403)-519-7877</t>
  </si>
  <si>
    <t>arjun.murphy630@mapleco.com</t>
  </si>
  <si>
    <t>(410)-530-7890</t>
  </si>
  <si>
    <t>sana.smith631@stonegatetravel.com</t>
  </si>
  <si>
    <t>(417)-541-7903</t>
  </si>
  <si>
    <t>riya.taylor632@vertexsystems.com</t>
  </si>
  <si>
    <t>(424)-552-7916</t>
  </si>
  <si>
    <t>kabir.jackson633@clearbridgemedia.com</t>
  </si>
  <si>
    <t>(431)-563-7929</t>
  </si>
  <si>
    <t>zara.martin634@nimbusenergy.com</t>
  </si>
  <si>
    <t>(438)-574-7942</t>
  </si>
  <si>
    <t>omar.martinez635@pioneerdesign.com</t>
  </si>
  <si>
    <t>(445)-585-7955</t>
  </si>
  <si>
    <t>layla.lewis636@urbannest.com</t>
  </si>
  <si>
    <t>(452)-596-7968</t>
  </si>
  <si>
    <t>fatima.allen637@evergreenfoods.com</t>
  </si>
  <si>
    <t>(459)-607-7981</t>
  </si>
  <si>
    <t>hugo.wright638@harborfitness.com</t>
  </si>
  <si>
    <t>(466)-618-7994</t>
  </si>
  <si>
    <t>nina.baker639@summitworks.com</t>
  </si>
  <si>
    <t>(473)-629-8007</t>
  </si>
  <si>
    <t>leo.carter640@silverlinetech.com</t>
  </si>
  <si>
    <t>(480)-640-8020</t>
  </si>
  <si>
    <t>grace.patel641@auroralearning.com</t>
  </si>
  <si>
    <t>(487)-651-8033</t>
  </si>
  <si>
    <t>chloe.sharma642@bluepeakretail.com</t>
  </si>
  <si>
    <t>(494)-662-8046</t>
  </si>
  <si>
    <t>jack.campbell643@brightpathhealth.com</t>
  </si>
  <si>
    <t>(501)-673-8059</t>
  </si>
  <si>
    <t>mila.brooks644@crescentlogistics.com</t>
  </si>
  <si>
    <t>(508)-684-8072</t>
  </si>
  <si>
    <t>david.brown645@northwindlabs.com</t>
  </si>
  <si>
    <t>(515)-695-8085</t>
  </si>
  <si>
    <t>hannah.thomas646@mapleco.com</t>
  </si>
  <si>
    <t>(522)-706-8098</t>
  </si>
  <si>
    <t>victor.harris647@stonegatetravel.com</t>
  </si>
  <si>
    <t>(529)-717-8111</t>
  </si>
  <si>
    <t>ruby.garcia648@vertexsystems.com</t>
  </si>
  <si>
    <t>(536)-728-8124</t>
  </si>
  <si>
    <t>anaya.clark649@clearbridgemedia.com</t>
  </si>
  <si>
    <t>(543)-739-8137</t>
  </si>
  <si>
    <t>ava.hall650@nimbusenergy.com</t>
  </si>
  <si>
    <t>(550)-750-8150</t>
  </si>
  <si>
    <t>liam.king651@pioneerdesign.com</t>
  </si>
  <si>
    <t>(557)-761-8163</t>
  </si>
  <si>
    <t>noah.green652@urbannest.com</t>
  </si>
  <si>
    <t>(564)-772-8176</t>
  </si>
  <si>
    <t>emma.nelson653@evergreenfoods.com</t>
  </si>
  <si>
    <t>(571)-783-8189</t>
  </si>
  <si>
    <t>olivia.perez654@harborfitness.com</t>
  </si>
  <si>
    <t>(578)-794-8202</t>
  </si>
  <si>
    <t>elijah.khan655@summitworks.com</t>
  </si>
  <si>
    <t>(585)-805-8215</t>
  </si>
  <si>
    <t>sophia.rivera656@silverlinetech.com</t>
  </si>
  <si>
    <t>(592)-816-8228</t>
  </si>
  <si>
    <t>mason.reed657@auroralearning.com</t>
  </si>
  <si>
    <t>(599)-827-8241</t>
  </si>
  <si>
    <t>isabella.johnson658@bluepeakretail.com</t>
  </si>
  <si>
    <t>(606)-838-8254</t>
  </si>
  <si>
    <t>lucas.anderson659@brightpathhealth.com</t>
  </si>
  <si>
    <t>(613)-849-8267</t>
  </si>
  <si>
    <t>mia.white660@crescentlogistics.com</t>
  </si>
  <si>
    <t>(620)-860-8280</t>
  </si>
  <si>
    <t>amelia.thompson661@northwindlabs.com</t>
  </si>
  <si>
    <t>(627)-871-8293</t>
  </si>
  <si>
    <t>harper.robinson662@mapleco.com</t>
  </si>
  <si>
    <t>(634)-882-8306</t>
  </si>
  <si>
    <t>ethan.walker663@stonegatetravel.com</t>
  </si>
  <si>
    <t>(641)-893-8319</t>
  </si>
  <si>
    <t>james.young664@vertexsystems.com</t>
  </si>
  <si>
    <t>(648)-904-8332</t>
  </si>
  <si>
    <t>charlotte.scott665@clearbridgemedia.com</t>
  </si>
  <si>
    <t>(655)-915-8345</t>
  </si>
  <si>
    <t>benjamin.adams666@nimbusenergy.com</t>
  </si>
  <si>
    <t>(662)-926-8358</t>
  </si>
  <si>
    <t>evelyn.mitchell667@pioneerdesign.com</t>
  </si>
  <si>
    <t>(669)-937-8371</t>
  </si>
  <si>
    <t>aria.singh668@urbannest.com</t>
  </si>
  <si>
    <t>(676)-948-8384</t>
  </si>
  <si>
    <t>henry.ali669@evergreenfoods.com</t>
  </si>
  <si>
    <t>(683)-959-8397</t>
  </si>
  <si>
    <t>aiden.murphy670@harborfitness.com</t>
  </si>
  <si>
    <t>(690)-970-8410</t>
  </si>
  <si>
    <t>scarlett.smith671@summitworks.com</t>
  </si>
  <si>
    <t>(697)-981-8423</t>
  </si>
  <si>
    <t>ella.taylor672@silverlinetech.com</t>
  </si>
  <si>
    <t>(704)-992-8436</t>
  </si>
  <si>
    <t>michael.jackson673@auroralearning.com</t>
  </si>
  <si>
    <t>(711)-103-8449</t>
  </si>
  <si>
    <t>daniel.martin674@bluepeakretail.com</t>
  </si>
  <si>
    <t>(718)-114-8462</t>
  </si>
  <si>
    <t>sofia.martinez675@brightpathhealth.com</t>
  </si>
  <si>
    <t>(725)-125-8475</t>
  </si>
  <si>
    <t>levi.lewis676@crescentlogistics.com</t>
  </si>
  <si>
    <t>(732)-136-8488</t>
  </si>
  <si>
    <t>mateo.allen677@northwindlabs.com</t>
  </si>
  <si>
    <t>(739)-147-8501</t>
  </si>
  <si>
    <t>neha.wright678@mapleco.com</t>
  </si>
  <si>
    <t>(746)-158-8514</t>
  </si>
  <si>
    <t>priya.baker679@stonegatetravel.com</t>
  </si>
  <si>
    <t>(753)-169-8527</t>
  </si>
  <si>
    <t>arjun.carter680@vertexsystems.com</t>
  </si>
  <si>
    <t>(760)-180-8540</t>
  </si>
  <si>
    <t>sana.patel681@clearbridgemedia.com</t>
  </si>
  <si>
    <t>(767)-191-8553</t>
  </si>
  <si>
    <t>riya.sharma682@nimbusenergy.com</t>
  </si>
  <si>
    <t>(774)-202-8566</t>
  </si>
  <si>
    <t>kabir.campbell683@pioneerdesign.com</t>
  </si>
  <si>
    <t>(781)-213-8579</t>
  </si>
  <si>
    <t>zara.brooks684@urbannest.com</t>
  </si>
  <si>
    <t>(788)-224-8592</t>
  </si>
  <si>
    <t>omar.brown685@evergreenfoods.com</t>
  </si>
  <si>
    <t>(795)-235-8605</t>
  </si>
  <si>
    <t>layla.thomas686@harborfitness.com</t>
  </si>
  <si>
    <t>(802)-246-8618</t>
  </si>
  <si>
    <t>fatima.harris687@summitworks.com</t>
  </si>
  <si>
    <t>(809)-257-8631</t>
  </si>
  <si>
    <t>hugo.garcia688@silverlinetech.com</t>
  </si>
  <si>
    <t>(816)-268-8644</t>
  </si>
  <si>
    <t>nina.clark689@auroralearning.com</t>
  </si>
  <si>
    <t>(823)-279-8657</t>
  </si>
  <si>
    <t>leo.hall690@bluepeakretail.com</t>
  </si>
  <si>
    <t>(830)-290-8670</t>
  </si>
  <si>
    <t>grace.king691@brightpathhealth.com</t>
  </si>
  <si>
    <t>(837)-301-8683</t>
  </si>
  <si>
    <t>chloe.green692@crescentlogistics.com</t>
  </si>
  <si>
    <t>(844)-312-8696</t>
  </si>
  <si>
    <t>jack.nelson693@northwindlabs.com</t>
  </si>
  <si>
    <t>(851)-323-8709</t>
  </si>
  <si>
    <t>mila.perez694@mapleco.com</t>
  </si>
  <si>
    <t>(858)-334-8722</t>
  </si>
  <si>
    <t>david.khan695@stonegatetravel.com</t>
  </si>
  <si>
    <t>(865)-345-8735</t>
  </si>
  <si>
    <t>hannah.rivera696@vertexsystems.com</t>
  </si>
  <si>
    <t>(872)-356-8748</t>
  </si>
  <si>
    <t>victor.reed697@clearbridgemedia.com</t>
  </si>
  <si>
    <t>(879)-367-8761</t>
  </si>
  <si>
    <t>ruby.johnson698@nimbusenergy.com</t>
  </si>
  <si>
    <t>(886)-378-8774</t>
  </si>
  <si>
    <t>anaya.anderson699@pioneerdesign.com</t>
  </si>
  <si>
    <t>(893)-389-8787</t>
  </si>
  <si>
    <t>Flash Fill Practice — Orders, Products, and Text Patterns</t>
  </si>
  <si>
    <t>Order_ID</t>
  </si>
  <si>
    <t>Product</t>
  </si>
  <si>
    <t>Color</t>
  </si>
  <si>
    <t>Size</t>
  </si>
  <si>
    <t>Raw_SKU</t>
  </si>
  <si>
    <t>Customer_Name</t>
  </si>
  <si>
    <t>Raw_Address</t>
  </si>
  <si>
    <t>Start_Date</t>
  </si>
  <si>
    <t>End_Date</t>
  </si>
  <si>
    <t>SKU Short</t>
  </si>
  <si>
    <t>Product Label</t>
  </si>
  <si>
    <t>First Name</t>
  </si>
  <si>
    <t>City-State</t>
  </si>
  <si>
    <t>Quarter</t>
  </si>
  <si>
    <t>Invoice Ref</t>
  </si>
  <si>
    <t>Rows 4–9 show examples. Continue the orange columns with Flash Fill from row 10 onward.</t>
  </si>
  <si>
    <t>ORD-2026-00001</t>
  </si>
  <si>
    <t>Tablet</t>
  </si>
  <si>
    <t>M</t>
  </si>
  <si>
    <t>TABLET-WHI-M</t>
  </si>
  <si>
    <t>Harris, Emma</t>
  </si>
  <si>
    <t>Boston, MA</t>
  </si>
  <si>
    <t>TABM</t>
  </si>
  <si>
    <t>White Tablet (M)</t>
  </si>
  <si>
    <t>Boston - MA</t>
  </si>
  <si>
    <t>Q1-2026</t>
  </si>
  <si>
    <t>INV/00001/JAN</t>
  </si>
  <si>
    <t>ORD-2026-00002</t>
  </si>
  <si>
    <t>Mouse</t>
  </si>
  <si>
    <t>Gold</t>
  </si>
  <si>
    <t>XL</t>
  </si>
  <si>
    <t>MOUSE-GOL-XL</t>
  </si>
  <si>
    <t>Clark, Mason</t>
  </si>
  <si>
    <t>Columbus, OH</t>
  </si>
  <si>
    <t>MOUXL</t>
  </si>
  <si>
    <t>Gold Mouse (XL)</t>
  </si>
  <si>
    <t>Columbus - OH</t>
  </si>
  <si>
    <t>Q2-2026</t>
  </si>
  <si>
    <t>INV/00002/APR</t>
  </si>
  <si>
    <t>ORD-2026-00003</t>
  </si>
  <si>
    <t>Camera</t>
  </si>
  <si>
    <t>S</t>
  </si>
  <si>
    <t>CAMERA-WHI-S</t>
  </si>
  <si>
    <t>King, Amelia</t>
  </si>
  <si>
    <t>Denver, CO</t>
  </si>
  <si>
    <t>CAMS</t>
  </si>
  <si>
    <t>White Camera (S)</t>
  </si>
  <si>
    <t>Denver - CO</t>
  </si>
  <si>
    <t>Q3-2026</t>
  </si>
  <si>
    <t>INV/00003/JUL</t>
  </si>
  <si>
    <t>ORD-2026-00004</t>
  </si>
  <si>
    <t>Desk Lamp</t>
  </si>
  <si>
    <t>L</t>
  </si>
  <si>
    <t>DESKLAMP-GOL-L</t>
  </si>
  <si>
    <t>Nelson, Charlotte</t>
  </si>
  <si>
    <t>Dallas, TX</t>
  </si>
  <si>
    <t>DESL</t>
  </si>
  <si>
    <t>Gold Desk Lamp (L)</t>
  </si>
  <si>
    <t>Dallas - TX</t>
  </si>
  <si>
    <t>Q4-2026</t>
  </si>
  <si>
    <t>INV/00004/OCT</t>
  </si>
  <si>
    <t>ORD-2026-00005</t>
  </si>
  <si>
    <t>Notebook</t>
  </si>
  <si>
    <t>XS</t>
  </si>
  <si>
    <t>NOTEBOOK-WHI-XS</t>
  </si>
  <si>
    <t>Khan, Henry</t>
  </si>
  <si>
    <t>Seattle, WA</t>
  </si>
  <si>
    <t>NOTXS</t>
  </si>
  <si>
    <t>White Notebook (XS)</t>
  </si>
  <si>
    <t>Seattle - WA</t>
  </si>
  <si>
    <t>INV/00005/JAN</t>
  </si>
  <si>
    <t>ORD-2026-00006</t>
  </si>
  <si>
    <t>Power Bank</t>
  </si>
  <si>
    <t>POWERBANK-GOL-M</t>
  </si>
  <si>
    <t>Reed, Michael</t>
  </si>
  <si>
    <t>Nashville, TN</t>
  </si>
  <si>
    <t>POWM</t>
  </si>
  <si>
    <t>Gold Power Bank (M)</t>
  </si>
  <si>
    <t>Nashville - TN</t>
  </si>
  <si>
    <t>INV/00006/APR</t>
  </si>
  <si>
    <t>ORD-2026-00007</t>
  </si>
  <si>
    <t>TABLET-WHI-XL</t>
  </si>
  <si>
    <t>Anderson, Mateo</t>
  </si>
  <si>
    <t>Minneapolis, MN</t>
  </si>
  <si>
    <t>ORD-2026-00008</t>
  </si>
  <si>
    <t>MOUSE-GOL-S</t>
  </si>
  <si>
    <t>Thompson, Sana</t>
  </si>
  <si>
    <t>Atlanta, GA</t>
  </si>
  <si>
    <t>ORD-2026-00009</t>
  </si>
  <si>
    <t>CAMERA-WHI-L</t>
  </si>
  <si>
    <t>Walker, Omar</t>
  </si>
  <si>
    <t>Tampa, FL</t>
  </si>
  <si>
    <t>ORD-2026-00010</t>
  </si>
  <si>
    <t>DESKLAMP-GOL-XS</t>
  </si>
  <si>
    <t>Scott, Nina</t>
  </si>
  <si>
    <t>Phoenix, AZ</t>
  </si>
  <si>
    <t>ORD-2026-00011</t>
  </si>
  <si>
    <t>NOTEBOOK-WHI-M</t>
  </si>
  <si>
    <t>Mitchell, Jack</t>
  </si>
  <si>
    <t>Raleigh, NC</t>
  </si>
  <si>
    <t>ORD-2026-00012</t>
  </si>
  <si>
    <t>POWERBANK-GOL-XL</t>
  </si>
  <si>
    <t>Ali, Victor</t>
  </si>
  <si>
    <t>Miami, FL</t>
  </si>
  <si>
    <t>ORD-2026-00013</t>
  </si>
  <si>
    <t>TABLET-WHI-S</t>
  </si>
  <si>
    <t>Smith, Liam</t>
  </si>
  <si>
    <t>Charlotte, NC</t>
  </si>
  <si>
    <t>ORD-2026-00014</t>
  </si>
  <si>
    <t>MOUSE-GOL-L</t>
  </si>
  <si>
    <t>Jackson, Elijah</t>
  </si>
  <si>
    <t>Austin, TX</t>
  </si>
  <si>
    <t>ORD-2026-00015</t>
  </si>
  <si>
    <t>CAMERA-WHI-XS</t>
  </si>
  <si>
    <t>Martinez, Lucas</t>
  </si>
  <si>
    <t>San Diego, CA</t>
  </si>
  <si>
    <t>ORD-2026-00016</t>
  </si>
  <si>
    <t>DESKLAMP-GOL-M</t>
  </si>
  <si>
    <t>Allen, Ethan</t>
  </si>
  <si>
    <t>Kansas City, MO</t>
  </si>
  <si>
    <t>ORD-2026-00017</t>
  </si>
  <si>
    <t>NOTEBOOK-WHI-XL</t>
  </si>
  <si>
    <t>Baker, Evelyn</t>
  </si>
  <si>
    <t>Portland, OR</t>
  </si>
  <si>
    <t>ORD-2026-00018</t>
  </si>
  <si>
    <t>POWERBANK-GOL-S</t>
  </si>
  <si>
    <t>Patel, Scarlett</t>
  </si>
  <si>
    <t>Las Vegas, NV</t>
  </si>
  <si>
    <t>ORD-2026-00019</t>
  </si>
  <si>
    <t>TABLET-WHI-L</t>
  </si>
  <si>
    <t>Campbell, Sofia</t>
  </si>
  <si>
    <t>Chicago, IL</t>
  </si>
  <si>
    <t>ORD-2026-00020</t>
  </si>
  <si>
    <t>MOUSE-GOL-XS</t>
  </si>
  <si>
    <t>Brown, Priya</t>
  </si>
  <si>
    <t>Detroit, MI</t>
  </si>
  <si>
    <t>ORD-2026-00021</t>
  </si>
  <si>
    <t>CAMERA-WHI-M</t>
  </si>
  <si>
    <t>Harris, Kabir</t>
  </si>
  <si>
    <t>ORD-2026-00022</t>
  </si>
  <si>
    <t>DESKLAMP-GOL-XL</t>
  </si>
  <si>
    <t>Clark, Fatima</t>
  </si>
  <si>
    <t>ORD-2026-00023</t>
  </si>
  <si>
    <t>NOTEBOOK-WHI-S</t>
  </si>
  <si>
    <t>King, Grace</t>
  </si>
  <si>
    <t>ORD-2026-00024</t>
  </si>
  <si>
    <t>POWERBANK-GOL-L</t>
  </si>
  <si>
    <t>Nelson, David</t>
  </si>
  <si>
    <t>ORD-2026-00025</t>
  </si>
  <si>
    <t>TABLET-WHI-XS</t>
  </si>
  <si>
    <t>Khan, Anaya</t>
  </si>
  <si>
    <t>ORD-2026-00026</t>
  </si>
  <si>
    <t>MOUSE-GOL-M</t>
  </si>
  <si>
    <t>Reed, Emma</t>
  </si>
  <si>
    <t>ORD-2026-00027</t>
  </si>
  <si>
    <t>CAMERA-WHI-XL</t>
  </si>
  <si>
    <t>Anderson, Mason</t>
  </si>
  <si>
    <t>ORD-2026-00028</t>
  </si>
  <si>
    <t>DESKLAMP-GOL-S</t>
  </si>
  <si>
    <t>Thompson, Amelia</t>
  </si>
  <si>
    <t>ORD-2026-00029</t>
  </si>
  <si>
    <t>NOTEBOOK-WHI-L</t>
  </si>
  <si>
    <t>Walker, Charlotte</t>
  </si>
  <si>
    <t>ORD-2026-00030</t>
  </si>
  <si>
    <t>POWERBANK-GOL-XS</t>
  </si>
  <si>
    <t>Scott, Henry</t>
  </si>
  <si>
    <t>ORD-2026-00031</t>
  </si>
  <si>
    <t>Mitchell, Michael</t>
  </si>
  <si>
    <t>ORD-2026-00032</t>
  </si>
  <si>
    <t>Ali, Mateo</t>
  </si>
  <si>
    <t>ORD-2026-00033</t>
  </si>
  <si>
    <t>Smith, Sana</t>
  </si>
  <si>
    <t>ORD-2026-00034</t>
  </si>
  <si>
    <t>Jackson, Omar</t>
  </si>
  <si>
    <t>ORD-2026-00035</t>
  </si>
  <si>
    <t>Martinez, Nina</t>
  </si>
  <si>
    <t>ORD-2026-00036</t>
  </si>
  <si>
    <t>Allen, Jack</t>
  </si>
  <si>
    <t>ORD-2026-00037</t>
  </si>
  <si>
    <t>Baker, Victor</t>
  </si>
  <si>
    <t>ORD-2026-00038</t>
  </si>
  <si>
    <t>Patel, Liam</t>
  </si>
  <si>
    <t>ORD-2026-00039</t>
  </si>
  <si>
    <t>Campbell, Elijah</t>
  </si>
  <si>
    <t>ORD-2026-00040</t>
  </si>
  <si>
    <t>Brown, Lucas</t>
  </si>
  <si>
    <t>ORD-2026-00041</t>
  </si>
  <si>
    <t>Harris, Ethan</t>
  </si>
  <si>
    <t>ORD-2026-00042</t>
  </si>
  <si>
    <t>Clark, Evelyn</t>
  </si>
  <si>
    <t>ORD-2026-00043</t>
  </si>
  <si>
    <t>King, Scarlett</t>
  </si>
  <si>
    <t>ORD-2026-00044</t>
  </si>
  <si>
    <t>Nelson, Sofia</t>
  </si>
  <si>
    <t>ORD-2026-00045</t>
  </si>
  <si>
    <t>Khan, Priya</t>
  </si>
  <si>
    <t>ORD-2026-00046</t>
  </si>
  <si>
    <t>Reed, Kabir</t>
  </si>
  <si>
    <t>ORD-2026-00047</t>
  </si>
  <si>
    <t>Anderson, Fatima</t>
  </si>
  <si>
    <t>ORD-2026-00048</t>
  </si>
  <si>
    <t>Thompson, Grace</t>
  </si>
  <si>
    <t>ORD-2026-00049</t>
  </si>
  <si>
    <t>Walker, David</t>
  </si>
  <si>
    <t>ORD-2026-00050</t>
  </si>
  <si>
    <t>Scott, Anaya</t>
  </si>
  <si>
    <t>ORD-2026-00051</t>
  </si>
  <si>
    <t>Mitchell, Emma</t>
  </si>
  <si>
    <t>ORD-2026-00052</t>
  </si>
  <si>
    <t>Ali, Mason</t>
  </si>
  <si>
    <t>ORD-2026-00053</t>
  </si>
  <si>
    <t>Smith, Amelia</t>
  </si>
  <si>
    <t>ORD-2026-00054</t>
  </si>
  <si>
    <t>Jackson, Charlotte</t>
  </si>
  <si>
    <t>ORD-2026-00055</t>
  </si>
  <si>
    <t>Martinez, Henry</t>
  </si>
  <si>
    <t>ORD-2026-00056</t>
  </si>
  <si>
    <t>Allen, Michael</t>
  </si>
  <si>
    <t>ORD-2026-00057</t>
  </si>
  <si>
    <t>Baker, Mateo</t>
  </si>
  <si>
    <t>ORD-2026-00058</t>
  </si>
  <si>
    <t>Patel, Sana</t>
  </si>
  <si>
    <t>ORD-2026-00059</t>
  </si>
  <si>
    <t>Campbell, Omar</t>
  </si>
  <si>
    <t>ORD-2026-00060</t>
  </si>
  <si>
    <t>Brown, Nina</t>
  </si>
  <si>
    <t>ORD-2026-00061</t>
  </si>
  <si>
    <t>Harris, Jack</t>
  </si>
  <si>
    <t>ORD-2026-00062</t>
  </si>
  <si>
    <t>Clark, Victor</t>
  </si>
  <si>
    <t>ORD-2026-00063</t>
  </si>
  <si>
    <t>King, Liam</t>
  </si>
  <si>
    <t>ORD-2026-00064</t>
  </si>
  <si>
    <t>Nelson, Elijah</t>
  </si>
  <si>
    <t>ORD-2026-00065</t>
  </si>
  <si>
    <t>Khan, Lucas</t>
  </si>
  <si>
    <t>ORD-2026-00066</t>
  </si>
  <si>
    <t>Reed, Ethan</t>
  </si>
  <si>
    <t>ORD-2026-00067</t>
  </si>
  <si>
    <t>Anderson, Evelyn</t>
  </si>
  <si>
    <t>ORD-2026-00068</t>
  </si>
  <si>
    <t>Thompson, Scarlett</t>
  </si>
  <si>
    <t>ORD-2026-00069</t>
  </si>
  <si>
    <t>Walker, Sofia</t>
  </si>
  <si>
    <t>ORD-2026-00070</t>
  </si>
  <si>
    <t>Scott, Priya</t>
  </si>
  <si>
    <t>ORD-2026-00071</t>
  </si>
  <si>
    <t>Mitchell, Kabir</t>
  </si>
  <si>
    <t>ORD-2026-00072</t>
  </si>
  <si>
    <t>Ali, Fatima</t>
  </si>
  <si>
    <t>ORD-2026-00073</t>
  </si>
  <si>
    <t>Smith, Grace</t>
  </si>
  <si>
    <t>ORD-2026-00074</t>
  </si>
  <si>
    <t>Jackson, David</t>
  </si>
  <si>
    <t>ORD-2026-00075</t>
  </si>
  <si>
    <t>Martinez, Anaya</t>
  </si>
  <si>
    <t>ORD-2026-00076</t>
  </si>
  <si>
    <t>Allen, Emma</t>
  </si>
  <si>
    <t>ORD-2026-00077</t>
  </si>
  <si>
    <t>Baker, Mason</t>
  </si>
  <si>
    <t>ORD-2026-00078</t>
  </si>
  <si>
    <t>Patel, Amelia</t>
  </si>
  <si>
    <t>ORD-2026-00079</t>
  </si>
  <si>
    <t>Campbell, Charlotte</t>
  </si>
  <si>
    <t>ORD-2026-00080</t>
  </si>
  <si>
    <t>Brown, Henry</t>
  </si>
  <si>
    <t>ORD-2026-00081</t>
  </si>
  <si>
    <t>Harris, Michael</t>
  </si>
  <si>
    <t>ORD-2026-00082</t>
  </si>
  <si>
    <t>Clark, Mateo</t>
  </si>
  <si>
    <t>ORD-2026-00083</t>
  </si>
  <si>
    <t>King, Sana</t>
  </si>
  <si>
    <t>ORD-2026-00084</t>
  </si>
  <si>
    <t>Nelson, Omar</t>
  </si>
  <si>
    <t>ORD-2026-00085</t>
  </si>
  <si>
    <t>Khan, Nina</t>
  </si>
  <si>
    <t>ORD-2026-00086</t>
  </si>
  <si>
    <t>Reed, Jack</t>
  </si>
  <si>
    <t>ORD-2026-00087</t>
  </si>
  <si>
    <t>Anderson, Victor</t>
  </si>
  <si>
    <t>ORD-2026-00088</t>
  </si>
  <si>
    <t>ORD-2026-00089</t>
  </si>
  <si>
    <t>Walker, Elijah</t>
  </si>
  <si>
    <t>ORD-2026-00090</t>
  </si>
  <si>
    <t>Scott, Lucas</t>
  </si>
  <si>
    <t>ORD-2026-00091</t>
  </si>
  <si>
    <t>Mitchell, Ethan</t>
  </si>
  <si>
    <t>ORD-2026-00092</t>
  </si>
  <si>
    <t>Ali, Evelyn</t>
  </si>
  <si>
    <t>ORD-2026-00093</t>
  </si>
  <si>
    <t>Smith, Scarlett</t>
  </si>
  <si>
    <t>ORD-2026-00094</t>
  </si>
  <si>
    <t>Jackson, Sofia</t>
  </si>
  <si>
    <t>ORD-2026-00095</t>
  </si>
  <si>
    <t>Martinez, Priya</t>
  </si>
  <si>
    <t>ORD-2026-00096</t>
  </si>
  <si>
    <t>Allen, Kabir</t>
  </si>
  <si>
    <t>ORD-2026-00097</t>
  </si>
  <si>
    <t>Baker, Fatima</t>
  </si>
  <si>
    <t>ORD-2026-00098</t>
  </si>
  <si>
    <t>Patel, Grace</t>
  </si>
  <si>
    <t>ORD-2026-00099</t>
  </si>
  <si>
    <t>Campbell, David</t>
  </si>
  <si>
    <t>ORD-2026-00100</t>
  </si>
  <si>
    <t>Brown, Anaya</t>
  </si>
  <si>
    <t>ORD-2026-00101</t>
  </si>
  <si>
    <t>ORD-2026-00102</t>
  </si>
  <si>
    <t>ORD-2026-00103</t>
  </si>
  <si>
    <t>ORD-2026-00104</t>
  </si>
  <si>
    <t>ORD-2026-00105</t>
  </si>
  <si>
    <t>ORD-2026-00106</t>
  </si>
  <si>
    <t>ORD-2026-00107</t>
  </si>
  <si>
    <t>ORD-2026-00108</t>
  </si>
  <si>
    <t>ORD-2026-00109</t>
  </si>
  <si>
    <t>ORD-2026-00110</t>
  </si>
  <si>
    <t>ORD-2026-00111</t>
  </si>
  <si>
    <t>ORD-2026-00112</t>
  </si>
  <si>
    <t>ORD-2026-00113</t>
  </si>
  <si>
    <t>ORD-2026-00114</t>
  </si>
  <si>
    <t>ORD-2026-00115</t>
  </si>
  <si>
    <t>ORD-2026-00116</t>
  </si>
  <si>
    <t>ORD-2026-00117</t>
  </si>
  <si>
    <t>ORD-2026-00118</t>
  </si>
  <si>
    <t>ORD-2026-00119</t>
  </si>
  <si>
    <t>ORD-2026-00120</t>
  </si>
  <si>
    <t>ORD-2026-00121</t>
  </si>
  <si>
    <t>ORD-2026-00122</t>
  </si>
  <si>
    <t>ORD-2026-00123</t>
  </si>
  <si>
    <t>ORD-2026-00124</t>
  </si>
  <si>
    <t>ORD-2026-00125</t>
  </si>
  <si>
    <t>ORD-2026-00126</t>
  </si>
  <si>
    <t>ORD-2026-00127</t>
  </si>
  <si>
    <t>ORD-2026-00128</t>
  </si>
  <si>
    <t>ORD-2026-00129</t>
  </si>
  <si>
    <t>ORD-2026-00130</t>
  </si>
  <si>
    <t>ORD-2026-00131</t>
  </si>
  <si>
    <t>ORD-2026-00132</t>
  </si>
  <si>
    <t>ORD-2026-00133</t>
  </si>
  <si>
    <t>ORD-2026-00134</t>
  </si>
  <si>
    <t>ORD-2026-00135</t>
  </si>
  <si>
    <t>ORD-2026-00136</t>
  </si>
  <si>
    <t>ORD-2026-00137</t>
  </si>
  <si>
    <t>ORD-2026-00138</t>
  </si>
  <si>
    <t>ORD-2026-00139</t>
  </si>
  <si>
    <t>ORD-2026-00140</t>
  </si>
  <si>
    <t>ORD-2026-00141</t>
  </si>
  <si>
    <t>ORD-2026-00142</t>
  </si>
  <si>
    <t>ORD-2026-00143</t>
  </si>
  <si>
    <t>ORD-2026-00144</t>
  </si>
  <si>
    <t>ORD-2026-00145</t>
  </si>
  <si>
    <t>ORD-2026-00146</t>
  </si>
  <si>
    <t>ORD-2026-00147</t>
  </si>
  <si>
    <t>ORD-2026-00148</t>
  </si>
  <si>
    <t>ORD-2026-00149</t>
  </si>
  <si>
    <t>ORD-2026-00150</t>
  </si>
  <si>
    <t>ORD-2026-00151</t>
  </si>
  <si>
    <t>ORD-2026-00152</t>
  </si>
  <si>
    <t>ORD-2026-00153</t>
  </si>
  <si>
    <t>ORD-2026-00154</t>
  </si>
  <si>
    <t>ORD-2026-00155</t>
  </si>
  <si>
    <t>ORD-2026-00156</t>
  </si>
  <si>
    <t>ORD-2026-00157</t>
  </si>
  <si>
    <t>ORD-2026-00158</t>
  </si>
  <si>
    <t>ORD-2026-00159</t>
  </si>
  <si>
    <t>ORD-2026-00160</t>
  </si>
  <si>
    <t>ORD-2026-00161</t>
  </si>
  <si>
    <t>ORD-2026-00162</t>
  </si>
  <si>
    <t>ORD-2026-00163</t>
  </si>
  <si>
    <t>ORD-2026-00164</t>
  </si>
  <si>
    <t>ORD-2026-00165</t>
  </si>
  <si>
    <t>ORD-2026-00166</t>
  </si>
  <si>
    <t>ORD-2026-00167</t>
  </si>
  <si>
    <t>ORD-2026-00168</t>
  </si>
  <si>
    <t>ORD-2026-00169</t>
  </si>
  <si>
    <t>ORD-2026-00170</t>
  </si>
  <si>
    <t>ORD-2026-00171</t>
  </si>
  <si>
    <t>ORD-2026-00172</t>
  </si>
  <si>
    <t>ORD-2026-00173</t>
  </si>
  <si>
    <t>ORD-2026-00174</t>
  </si>
  <si>
    <t>ORD-2026-00175</t>
  </si>
  <si>
    <t>ORD-2026-00176</t>
  </si>
  <si>
    <t>ORD-2026-00177</t>
  </si>
  <si>
    <t>ORD-2026-00178</t>
  </si>
  <si>
    <t>ORD-2026-00179</t>
  </si>
  <si>
    <t>ORD-2026-00180</t>
  </si>
  <si>
    <t>ORD-2026-00181</t>
  </si>
  <si>
    <t>ORD-2026-00182</t>
  </si>
  <si>
    <t>ORD-2026-00183</t>
  </si>
  <si>
    <t>ORD-2026-00184</t>
  </si>
  <si>
    <t>ORD-2026-00185</t>
  </si>
  <si>
    <t>ORD-2026-00186</t>
  </si>
  <si>
    <t>ORD-2026-00187</t>
  </si>
  <si>
    <t>ORD-2026-00188</t>
  </si>
  <si>
    <t>ORD-2026-00189</t>
  </si>
  <si>
    <t>ORD-2026-00190</t>
  </si>
  <si>
    <t>ORD-2026-00191</t>
  </si>
  <si>
    <t>ORD-2026-00192</t>
  </si>
  <si>
    <t>ORD-2026-00193</t>
  </si>
  <si>
    <t>ORD-2026-00194</t>
  </si>
  <si>
    <t>ORD-2026-00195</t>
  </si>
  <si>
    <t>ORD-2026-00196</t>
  </si>
  <si>
    <t>ORD-2026-00197</t>
  </si>
  <si>
    <t>ORD-2026-00198</t>
  </si>
  <si>
    <t>ORD-2026-00199</t>
  </si>
  <si>
    <t>ORD-2026-00200</t>
  </si>
  <si>
    <t>ORD-2026-00201</t>
  </si>
  <si>
    <t>ORD-2026-00202</t>
  </si>
  <si>
    <t>ORD-2026-00203</t>
  </si>
  <si>
    <t>ORD-2026-00204</t>
  </si>
  <si>
    <t>ORD-2026-00205</t>
  </si>
  <si>
    <t>ORD-2026-00206</t>
  </si>
  <si>
    <t>ORD-2026-00207</t>
  </si>
  <si>
    <t>ORD-2026-00208</t>
  </si>
  <si>
    <t>ORD-2026-00209</t>
  </si>
  <si>
    <t>ORD-2026-00210</t>
  </si>
  <si>
    <t>ORD-2026-00211</t>
  </si>
  <si>
    <t>ORD-2026-00212</t>
  </si>
  <si>
    <t>ORD-2026-00213</t>
  </si>
  <si>
    <t>ORD-2026-00214</t>
  </si>
  <si>
    <t>ORD-2026-00215</t>
  </si>
  <si>
    <t>ORD-2026-00216</t>
  </si>
  <si>
    <t>ORD-2026-00217</t>
  </si>
  <si>
    <t>ORD-2026-00218</t>
  </si>
  <si>
    <t>ORD-2026-00219</t>
  </si>
  <si>
    <t>ORD-2026-00220</t>
  </si>
  <si>
    <t>ORD-2026-00221</t>
  </si>
  <si>
    <t>ORD-2026-00222</t>
  </si>
  <si>
    <t>ORD-2026-00223</t>
  </si>
  <si>
    <t>ORD-2026-00224</t>
  </si>
  <si>
    <t>ORD-2026-00225</t>
  </si>
  <si>
    <t>ORD-2026-00226</t>
  </si>
  <si>
    <t>ORD-2026-00227</t>
  </si>
  <si>
    <t>ORD-2026-00228</t>
  </si>
  <si>
    <t>ORD-2026-00229</t>
  </si>
  <si>
    <t>ORD-2026-00230</t>
  </si>
  <si>
    <t>ORD-2026-00231</t>
  </si>
  <si>
    <t>ORD-2026-00232</t>
  </si>
  <si>
    <t>ORD-2026-00233</t>
  </si>
  <si>
    <t>ORD-2026-00234</t>
  </si>
  <si>
    <t>ORD-2026-00235</t>
  </si>
  <si>
    <t>ORD-2026-00236</t>
  </si>
  <si>
    <t>ORD-2026-00237</t>
  </si>
  <si>
    <t>ORD-2026-00238</t>
  </si>
  <si>
    <t>ORD-2026-00239</t>
  </si>
  <si>
    <t>ORD-2026-00240</t>
  </si>
  <si>
    <t>ORD-2026-00241</t>
  </si>
  <si>
    <t>ORD-2026-00242</t>
  </si>
  <si>
    <t>ORD-2026-00243</t>
  </si>
  <si>
    <t>ORD-2026-00244</t>
  </si>
  <si>
    <t>ORD-2026-00245</t>
  </si>
  <si>
    <t>ORD-2026-00246</t>
  </si>
  <si>
    <t>ORD-2026-00247</t>
  </si>
  <si>
    <t>ORD-2026-00248</t>
  </si>
  <si>
    <t>ORD-2026-00249</t>
  </si>
  <si>
    <t>ORD-2026-00250</t>
  </si>
  <si>
    <t>ORD-2026-00251</t>
  </si>
  <si>
    <t>ORD-2026-00252</t>
  </si>
  <si>
    <t>ORD-2026-00253</t>
  </si>
  <si>
    <t>ORD-2026-00254</t>
  </si>
  <si>
    <t>ORD-2026-00255</t>
  </si>
  <si>
    <t>ORD-2026-00256</t>
  </si>
  <si>
    <t>ORD-2026-00257</t>
  </si>
  <si>
    <t>ORD-2026-00258</t>
  </si>
  <si>
    <t>ORD-2026-00259</t>
  </si>
  <si>
    <t>ORD-2026-00260</t>
  </si>
  <si>
    <t>ORD-2026-00261</t>
  </si>
  <si>
    <t>ORD-2026-00262</t>
  </si>
  <si>
    <t>ORD-2026-00263</t>
  </si>
  <si>
    <t>ORD-2026-00264</t>
  </si>
  <si>
    <t>ORD-2026-00265</t>
  </si>
  <si>
    <t>ORD-2026-00266</t>
  </si>
  <si>
    <t>ORD-2026-00267</t>
  </si>
  <si>
    <t>ORD-2026-00268</t>
  </si>
  <si>
    <t>ORD-2026-00269</t>
  </si>
  <si>
    <t>ORD-2026-00270</t>
  </si>
  <si>
    <t>ORD-2026-00271</t>
  </si>
  <si>
    <t>ORD-2026-00272</t>
  </si>
  <si>
    <t>ORD-2026-00273</t>
  </si>
  <si>
    <t>ORD-2026-00274</t>
  </si>
  <si>
    <t>ORD-2026-00275</t>
  </si>
  <si>
    <t>ORD-2026-00276</t>
  </si>
  <si>
    <t>ORD-2026-00277</t>
  </si>
  <si>
    <t>ORD-2026-00278</t>
  </si>
  <si>
    <t>ORD-2026-00279</t>
  </si>
  <si>
    <t>ORD-2026-00280</t>
  </si>
  <si>
    <t>ORD-2026-00281</t>
  </si>
  <si>
    <t>ORD-2026-00282</t>
  </si>
  <si>
    <t>ORD-2026-00283</t>
  </si>
  <si>
    <t>ORD-2026-00284</t>
  </si>
  <si>
    <t>ORD-2026-00285</t>
  </si>
  <si>
    <t>ORD-2026-00286</t>
  </si>
  <si>
    <t>ORD-2026-00287</t>
  </si>
  <si>
    <t>ORD-2026-00288</t>
  </si>
  <si>
    <t>ORD-2026-00289</t>
  </si>
  <si>
    <t>ORD-2026-00290</t>
  </si>
  <si>
    <t>ORD-2026-00291</t>
  </si>
  <si>
    <t>ORD-2026-00292</t>
  </si>
  <si>
    <t>ORD-2026-00293</t>
  </si>
  <si>
    <t>ORD-2026-00294</t>
  </si>
  <si>
    <t>ORD-2026-00295</t>
  </si>
  <si>
    <t>ORD-2026-00296</t>
  </si>
  <si>
    <t>ORD-2026-00297</t>
  </si>
  <si>
    <t>ORD-2026-00298</t>
  </si>
  <si>
    <t>ORD-2026-00299</t>
  </si>
  <si>
    <t>ORD-2026-00300</t>
  </si>
  <si>
    <t>ORD-2026-00301</t>
  </si>
  <si>
    <t>ORD-2026-00302</t>
  </si>
  <si>
    <t>ORD-2026-00303</t>
  </si>
  <si>
    <t>ORD-2026-00304</t>
  </si>
  <si>
    <t>ORD-2026-00305</t>
  </si>
  <si>
    <t>ORD-2026-00306</t>
  </si>
  <si>
    <t>ORD-2026-00307</t>
  </si>
  <si>
    <t>ORD-2026-00308</t>
  </si>
  <si>
    <t>ORD-2026-00309</t>
  </si>
  <si>
    <t>ORD-2026-00310</t>
  </si>
  <si>
    <t>ORD-2026-00311</t>
  </si>
  <si>
    <t>ORD-2026-00312</t>
  </si>
  <si>
    <t>ORD-2026-00313</t>
  </si>
  <si>
    <t>ORD-2026-00314</t>
  </si>
  <si>
    <t>ORD-2026-00315</t>
  </si>
  <si>
    <t>ORD-2026-00316</t>
  </si>
  <si>
    <t>ORD-2026-00317</t>
  </si>
  <si>
    <t>ORD-2026-00318</t>
  </si>
  <si>
    <t>ORD-2026-00319</t>
  </si>
  <si>
    <t>ORD-2026-00320</t>
  </si>
  <si>
    <t>ORD-2026-00321</t>
  </si>
  <si>
    <t>ORD-2026-00322</t>
  </si>
  <si>
    <t>ORD-2026-00323</t>
  </si>
  <si>
    <t>ORD-2026-00324</t>
  </si>
  <si>
    <t>ORD-2026-00325</t>
  </si>
  <si>
    <t>ORD-2026-00326</t>
  </si>
  <si>
    <t>ORD-2026-00327</t>
  </si>
  <si>
    <t>ORD-2026-00328</t>
  </si>
  <si>
    <t>ORD-2026-00329</t>
  </si>
  <si>
    <t>ORD-2026-00330</t>
  </si>
  <si>
    <t>ORD-2026-00331</t>
  </si>
  <si>
    <t>ORD-2026-00332</t>
  </si>
  <si>
    <t>ORD-2026-00333</t>
  </si>
  <si>
    <t>ORD-2026-00334</t>
  </si>
  <si>
    <t>ORD-2026-00335</t>
  </si>
  <si>
    <t>ORD-2026-00336</t>
  </si>
  <si>
    <t>ORD-2026-00337</t>
  </si>
  <si>
    <t>ORD-2026-00338</t>
  </si>
  <si>
    <t>ORD-2026-00339</t>
  </si>
  <si>
    <t>ORD-2026-00340</t>
  </si>
  <si>
    <t>ORD-2026-00341</t>
  </si>
  <si>
    <t>ORD-2026-00342</t>
  </si>
  <si>
    <t>ORD-2026-00343</t>
  </si>
  <si>
    <t>ORD-2026-00344</t>
  </si>
  <si>
    <t>ORD-2026-00345</t>
  </si>
  <si>
    <t>ORD-2026-00346</t>
  </si>
  <si>
    <t>ORD-2026-00347</t>
  </si>
  <si>
    <t>ORD-2026-00348</t>
  </si>
  <si>
    <t>ORD-2026-00349</t>
  </si>
  <si>
    <t>ORD-2026-00350</t>
  </si>
  <si>
    <t>ORD-2026-00351</t>
  </si>
  <si>
    <t>ORD-2026-00352</t>
  </si>
  <si>
    <t>ORD-2026-00353</t>
  </si>
  <si>
    <t>ORD-2026-00354</t>
  </si>
  <si>
    <t>ORD-2026-00355</t>
  </si>
  <si>
    <t>ORD-2026-00356</t>
  </si>
  <si>
    <t>ORD-2026-00357</t>
  </si>
  <si>
    <t>ORD-2026-00358</t>
  </si>
  <si>
    <t>ORD-2026-00359</t>
  </si>
  <si>
    <t>ORD-2026-00360</t>
  </si>
  <si>
    <t>ORD-2026-00361</t>
  </si>
  <si>
    <t>ORD-2026-00362</t>
  </si>
  <si>
    <t>ORD-2026-00363</t>
  </si>
  <si>
    <t>ORD-2026-00364</t>
  </si>
  <si>
    <t>ORD-2026-00365</t>
  </si>
  <si>
    <t>ORD-2026-00366</t>
  </si>
  <si>
    <t>ORD-2026-00367</t>
  </si>
  <si>
    <t>ORD-2026-00368</t>
  </si>
  <si>
    <t>ORD-2026-00369</t>
  </si>
  <si>
    <t>ORD-2026-00370</t>
  </si>
  <si>
    <t>ORD-2026-00371</t>
  </si>
  <si>
    <t>ORD-2026-00372</t>
  </si>
  <si>
    <t>ORD-2026-00373</t>
  </si>
  <si>
    <t>ORD-2026-00374</t>
  </si>
  <si>
    <t>ORD-2026-00375</t>
  </si>
  <si>
    <t>ORD-2026-00376</t>
  </si>
  <si>
    <t>ORD-2026-00377</t>
  </si>
  <si>
    <t>ORD-2026-00378</t>
  </si>
  <si>
    <t>ORD-2026-00379</t>
  </si>
  <si>
    <t>ORD-2026-00380</t>
  </si>
  <si>
    <t>ORD-2026-00381</t>
  </si>
  <si>
    <t>ORD-2026-00382</t>
  </si>
  <si>
    <t>ORD-2026-00383</t>
  </si>
  <si>
    <t>ORD-2026-00384</t>
  </si>
  <si>
    <t>ORD-2026-00385</t>
  </si>
  <si>
    <t>ORD-2026-00386</t>
  </si>
  <si>
    <t>ORD-2026-00387</t>
  </si>
  <si>
    <t>ORD-2026-00388</t>
  </si>
  <si>
    <t>ORD-2026-00389</t>
  </si>
  <si>
    <t>ORD-2026-00390</t>
  </si>
  <si>
    <t>ORD-2026-00391</t>
  </si>
  <si>
    <t>ORD-2026-00392</t>
  </si>
  <si>
    <t>ORD-2026-00393</t>
  </si>
  <si>
    <t>ORD-2026-00394</t>
  </si>
  <si>
    <t>ORD-2026-00395</t>
  </si>
  <si>
    <t>ORD-2026-00396</t>
  </si>
  <si>
    <t>ORD-2026-00397</t>
  </si>
  <si>
    <t>ORD-2026-00398</t>
  </si>
  <si>
    <t>ORD-2026-00399</t>
  </si>
  <si>
    <t>ORD-2026-00400</t>
  </si>
  <si>
    <t>ORD-2026-00401</t>
  </si>
  <si>
    <t>ORD-2026-00402</t>
  </si>
  <si>
    <t>ORD-2026-00403</t>
  </si>
  <si>
    <t>ORD-2026-00404</t>
  </si>
  <si>
    <t>ORD-2026-00405</t>
  </si>
  <si>
    <t>ORD-2026-00406</t>
  </si>
  <si>
    <t>ORD-2026-00407</t>
  </si>
  <si>
    <t>ORD-2026-00408</t>
  </si>
  <si>
    <t>ORD-2026-00409</t>
  </si>
  <si>
    <t>ORD-2026-00410</t>
  </si>
  <si>
    <t>ORD-2026-00411</t>
  </si>
  <si>
    <t>ORD-2026-00412</t>
  </si>
  <si>
    <t>ORD-2026-00413</t>
  </si>
  <si>
    <t>ORD-2026-00414</t>
  </si>
  <si>
    <t>ORD-2026-00415</t>
  </si>
  <si>
    <t>ORD-2026-00416</t>
  </si>
  <si>
    <t>ORD-2026-00417</t>
  </si>
  <si>
    <t>ORD-2026-00418</t>
  </si>
  <si>
    <t>ORD-2026-00419</t>
  </si>
  <si>
    <t>ORD-2026-00420</t>
  </si>
  <si>
    <t>ORD-2026-00421</t>
  </si>
  <si>
    <t>ORD-2026-00422</t>
  </si>
  <si>
    <t>ORD-2026-00423</t>
  </si>
  <si>
    <t>ORD-2026-00424</t>
  </si>
  <si>
    <t>ORD-2026-00425</t>
  </si>
  <si>
    <t>ORD-2026-00426</t>
  </si>
  <si>
    <t>ORD-2026-00427</t>
  </si>
  <si>
    <t>ORD-2026-00428</t>
  </si>
  <si>
    <t>ORD-2026-00429</t>
  </si>
  <si>
    <t>ORD-2026-00430</t>
  </si>
  <si>
    <t>ORD-2026-00431</t>
  </si>
  <si>
    <t>ORD-2026-00432</t>
  </si>
  <si>
    <t>ORD-2026-00433</t>
  </si>
  <si>
    <t>ORD-2026-00434</t>
  </si>
  <si>
    <t>ORD-2026-00435</t>
  </si>
  <si>
    <t>ORD-2026-00436</t>
  </si>
  <si>
    <t>ORD-2026-00437</t>
  </si>
  <si>
    <t>ORD-2026-00438</t>
  </si>
  <si>
    <t>ORD-2026-00439</t>
  </si>
  <si>
    <t>ORD-2026-00440</t>
  </si>
  <si>
    <t>ORD-2026-00441</t>
  </si>
  <si>
    <t>ORD-2026-00442</t>
  </si>
  <si>
    <t>ORD-2026-00443</t>
  </si>
  <si>
    <t>ORD-2026-00444</t>
  </si>
  <si>
    <t>ORD-2026-00445</t>
  </si>
  <si>
    <t>ORD-2026-00446</t>
  </si>
  <si>
    <t>ORD-2026-00447</t>
  </si>
  <si>
    <t>ORD-2026-00448</t>
  </si>
  <si>
    <t>ORD-2026-00449</t>
  </si>
  <si>
    <t>ORD-2026-00450</t>
  </si>
  <si>
    <t>ORD-2026-00451</t>
  </si>
  <si>
    <t>ORD-2026-00452</t>
  </si>
  <si>
    <t>ORD-2026-00453</t>
  </si>
  <si>
    <t>ORD-2026-00454</t>
  </si>
  <si>
    <t>ORD-2026-00455</t>
  </si>
  <si>
    <t>ORD-2026-00456</t>
  </si>
  <si>
    <t>ORD-2026-00457</t>
  </si>
  <si>
    <t>ORD-2026-00458</t>
  </si>
  <si>
    <t>ORD-2026-00459</t>
  </si>
  <si>
    <t>ORD-2026-00460</t>
  </si>
  <si>
    <t>ORD-2026-00461</t>
  </si>
  <si>
    <t>ORD-2026-00462</t>
  </si>
  <si>
    <t>ORD-2026-00463</t>
  </si>
  <si>
    <t>ORD-2026-00464</t>
  </si>
  <si>
    <t>ORD-2026-00465</t>
  </si>
  <si>
    <t>ORD-2026-00466</t>
  </si>
  <si>
    <t>ORD-2026-00467</t>
  </si>
  <si>
    <t>ORD-2026-00468</t>
  </si>
  <si>
    <t>ORD-2026-00469</t>
  </si>
  <si>
    <t>ORD-2026-00470</t>
  </si>
  <si>
    <t>ORD-2026-00471</t>
  </si>
  <si>
    <t>ORD-2026-00472</t>
  </si>
  <si>
    <t>ORD-2026-00473</t>
  </si>
  <si>
    <t>ORD-2026-00474</t>
  </si>
  <si>
    <t>ORD-2026-00475</t>
  </si>
  <si>
    <t>ORD-2026-00476</t>
  </si>
  <si>
    <t>ORD-2026-00477</t>
  </si>
  <si>
    <t>ORD-2026-00478</t>
  </si>
  <si>
    <t>ORD-2026-00479</t>
  </si>
  <si>
    <t>ORD-2026-00480</t>
  </si>
  <si>
    <t>ORD-2026-00481</t>
  </si>
  <si>
    <t>ORD-2026-00482</t>
  </si>
  <si>
    <t>ORD-2026-00483</t>
  </si>
  <si>
    <t>ORD-2026-00484</t>
  </si>
  <si>
    <t>ORD-2026-00485</t>
  </si>
  <si>
    <t>ORD-2026-00486</t>
  </si>
  <si>
    <t>ORD-2026-00487</t>
  </si>
  <si>
    <t>ORD-2026-00488</t>
  </si>
  <si>
    <t>ORD-2026-00489</t>
  </si>
  <si>
    <t>ORD-2026-00490</t>
  </si>
  <si>
    <t>ORD-2026-00491</t>
  </si>
  <si>
    <t>ORD-2026-00492</t>
  </si>
  <si>
    <t>ORD-2026-00493</t>
  </si>
  <si>
    <t>ORD-2026-00494</t>
  </si>
  <si>
    <t>ORD-2026-00495</t>
  </si>
  <si>
    <t>ORD-2026-00496</t>
  </si>
  <si>
    <t>ORD-2026-00497</t>
  </si>
  <si>
    <t>ORD-2026-00498</t>
  </si>
  <si>
    <t>ORD-2026-00499</t>
  </si>
  <si>
    <t>ORD-2026-00500</t>
  </si>
  <si>
    <t>ORD-2026-00501</t>
  </si>
  <si>
    <t>ORD-2026-00502</t>
  </si>
  <si>
    <t>ORD-2026-00503</t>
  </si>
  <si>
    <t>ORD-2026-00504</t>
  </si>
  <si>
    <t>ORD-2026-00505</t>
  </si>
  <si>
    <t>ORD-2026-00506</t>
  </si>
  <si>
    <t>ORD-2026-00507</t>
  </si>
  <si>
    <t>ORD-2026-00508</t>
  </si>
  <si>
    <t>ORD-2026-00509</t>
  </si>
  <si>
    <t>ORD-2026-00510</t>
  </si>
  <si>
    <t>ORD-2026-00511</t>
  </si>
  <si>
    <t>ORD-2026-00512</t>
  </si>
  <si>
    <t>ORD-2026-00513</t>
  </si>
  <si>
    <t>ORD-2026-00514</t>
  </si>
  <si>
    <t>ORD-2026-00515</t>
  </si>
  <si>
    <t>ORD-2026-00516</t>
  </si>
  <si>
    <t>ORD-2026-00517</t>
  </si>
  <si>
    <t>ORD-2026-00518</t>
  </si>
  <si>
    <t>ORD-2026-00519</t>
  </si>
  <si>
    <t>ORD-2026-00520</t>
  </si>
  <si>
    <t>ORD-2026-00521</t>
  </si>
  <si>
    <t>ORD-2026-00522</t>
  </si>
  <si>
    <t>ORD-2026-00523</t>
  </si>
  <si>
    <t>ORD-2026-00524</t>
  </si>
  <si>
    <t>ORD-2026-00525</t>
  </si>
  <si>
    <t>ORD-2026-00526</t>
  </si>
  <si>
    <t>ORD-2026-00527</t>
  </si>
  <si>
    <t>ORD-2026-00528</t>
  </si>
  <si>
    <t>ORD-2026-00529</t>
  </si>
  <si>
    <t>ORD-2026-00530</t>
  </si>
  <si>
    <t>ORD-2026-00531</t>
  </si>
  <si>
    <t>ORD-2026-00532</t>
  </si>
  <si>
    <t>ORD-2026-00533</t>
  </si>
  <si>
    <t>ORD-2026-00534</t>
  </si>
  <si>
    <t>ORD-2026-00535</t>
  </si>
  <si>
    <t>ORD-2026-00536</t>
  </si>
  <si>
    <t>ORD-2026-00537</t>
  </si>
  <si>
    <t>ORD-2026-00538</t>
  </si>
  <si>
    <t>ORD-2026-00539</t>
  </si>
  <si>
    <t>ORD-2026-00540</t>
  </si>
  <si>
    <t>ORD-2026-00541</t>
  </si>
  <si>
    <t>ORD-2026-00542</t>
  </si>
  <si>
    <t>ORD-2026-00543</t>
  </si>
  <si>
    <t>ORD-2026-00544</t>
  </si>
  <si>
    <t>ORD-2026-00545</t>
  </si>
  <si>
    <t>ORD-2026-00546</t>
  </si>
  <si>
    <t>ORD-2026-00547</t>
  </si>
  <si>
    <t>ORD-2026-00548</t>
  </si>
  <si>
    <t>ORD-2026-00549</t>
  </si>
  <si>
    <t>ORD-2026-00550</t>
  </si>
  <si>
    <t>ORD-2026-00551</t>
  </si>
  <si>
    <t>ORD-2026-00552</t>
  </si>
  <si>
    <t>ORD-2026-00553</t>
  </si>
  <si>
    <t>ORD-2026-00554</t>
  </si>
  <si>
    <t>ORD-2026-00555</t>
  </si>
  <si>
    <t>ORD-2026-00556</t>
  </si>
  <si>
    <t>ORD-2026-00557</t>
  </si>
  <si>
    <t>ORD-2026-00558</t>
  </si>
  <si>
    <t>ORD-2026-00559</t>
  </si>
  <si>
    <t>ORD-2026-00560</t>
  </si>
  <si>
    <t>ORD-2026-00561</t>
  </si>
  <si>
    <t>ORD-2026-00562</t>
  </si>
  <si>
    <t>ORD-2026-00563</t>
  </si>
  <si>
    <t>ORD-2026-00564</t>
  </si>
  <si>
    <t>ORD-2026-00565</t>
  </si>
  <si>
    <t>ORD-2026-00566</t>
  </si>
  <si>
    <t>ORD-2026-00567</t>
  </si>
  <si>
    <t>ORD-2026-00568</t>
  </si>
  <si>
    <t>ORD-2026-00569</t>
  </si>
  <si>
    <t>ORD-2026-00570</t>
  </si>
  <si>
    <t>ORD-2026-00571</t>
  </si>
  <si>
    <t>ORD-2026-00572</t>
  </si>
  <si>
    <t>ORD-2026-00573</t>
  </si>
  <si>
    <t>ORD-2026-00574</t>
  </si>
  <si>
    <t>Sophia Adams</t>
  </si>
  <si>
    <t>Mason Mitchell</t>
  </si>
  <si>
    <t>Isabella Singh</t>
  </si>
  <si>
    <t>Lucas Ali</t>
  </si>
  <si>
    <t>Mia Murphy</t>
  </si>
  <si>
    <t>Amelia Smith</t>
  </si>
  <si>
    <t>Harper Taylor</t>
  </si>
  <si>
    <t>Ethan Jackson</t>
  </si>
  <si>
    <t>James Martin</t>
  </si>
  <si>
    <t>Charlotte Martinez</t>
  </si>
  <si>
    <t>Benjamin Lewis</t>
  </si>
  <si>
    <t>Evelyn Allen</t>
  </si>
  <si>
    <t>Aria Wright</t>
  </si>
  <si>
    <t>Henry Baker</t>
  </si>
  <si>
    <t>Aiden Carter</t>
  </si>
  <si>
    <t>Scarlett Patel</t>
  </si>
  <si>
    <t>Ella Sharma</t>
  </si>
  <si>
    <t>Michael Campbell</t>
  </si>
  <si>
    <t>Daniel Brooks</t>
  </si>
  <si>
    <t>Sofia Brown</t>
  </si>
  <si>
    <t>Levi Thomas</t>
  </si>
  <si>
    <t>Mateo Harris</t>
  </si>
  <si>
    <t>Neha Garcia</t>
  </si>
  <si>
    <t>Priya Clark</t>
  </si>
  <si>
    <t>Arjun Hall</t>
  </si>
  <si>
    <t>Sana King</t>
  </si>
  <si>
    <t>Riya Green</t>
  </si>
  <si>
    <t>Kabir Nelson</t>
  </si>
  <si>
    <t>Zara Perez</t>
  </si>
  <si>
    <t>Omar Khan</t>
  </si>
  <si>
    <t>Layla Rivera</t>
  </si>
  <si>
    <t>Fatima Reed</t>
  </si>
  <si>
    <t>Hugo Johnson</t>
  </si>
  <si>
    <t>Nina Anderson</t>
  </si>
  <si>
    <t>Leo White</t>
  </si>
  <si>
    <t>Grace Thompson</t>
  </si>
  <si>
    <t>Chloe Robinson</t>
  </si>
  <si>
    <t>Jack Walker</t>
  </si>
  <si>
    <t>Mila Young</t>
  </si>
  <si>
    <t>David Scott</t>
  </si>
  <si>
    <t>Hannah Adams</t>
  </si>
  <si>
    <t>Victor Mitchell</t>
  </si>
  <si>
    <t>Ruby Singh</t>
  </si>
  <si>
    <t>Anaya Ali</t>
  </si>
  <si>
    <t>Ava Murphy</t>
  </si>
  <si>
    <t>Liam Smith</t>
  </si>
  <si>
    <t>Noah Taylor</t>
  </si>
  <si>
    <t>Emma Jackson</t>
  </si>
  <si>
    <t>Olivia Martin</t>
  </si>
  <si>
    <t>Elijah Martinez</t>
  </si>
  <si>
    <t>Sophia Lewis</t>
  </si>
  <si>
    <t>Mason Allen</t>
  </si>
  <si>
    <t>Isabella Wright</t>
  </si>
  <si>
    <t>Lucas Baker</t>
  </si>
  <si>
    <t>Mia Carter</t>
  </si>
  <si>
    <t>Amelia Patel</t>
  </si>
  <si>
    <t>Harper Sharma</t>
  </si>
  <si>
    <t>Ethan Campbell</t>
  </si>
  <si>
    <t>James Brooks</t>
  </si>
  <si>
    <t>Charlotte Brown</t>
  </si>
  <si>
    <t>Benjamin Thomas</t>
  </si>
  <si>
    <t>Evelyn Harris</t>
  </si>
  <si>
    <t>Aria Garcia</t>
  </si>
  <si>
    <t>Henry Clark</t>
  </si>
  <si>
    <t>Aiden Hall</t>
  </si>
  <si>
    <t>Scarlett King</t>
  </si>
  <si>
    <t>Ella Green</t>
  </si>
  <si>
    <t>Michael Nelson</t>
  </si>
  <si>
    <t>Daniel Perez</t>
  </si>
  <si>
    <t>Sofia Khan</t>
  </si>
  <si>
    <t>Levi Rivera</t>
  </si>
  <si>
    <t>Mateo Reed</t>
  </si>
  <si>
    <t>Neha Johnson</t>
  </si>
  <si>
    <t>Priya Anderson</t>
  </si>
  <si>
    <t>Arjun White</t>
  </si>
  <si>
    <t>Sana Thompson</t>
  </si>
  <si>
    <t>Riya Robinson</t>
  </si>
  <si>
    <t>Kabir Walker</t>
  </si>
  <si>
    <t>Zara Young</t>
  </si>
  <si>
    <t>Omar Scott</t>
  </si>
  <si>
    <t>Layla Adams</t>
  </si>
  <si>
    <t>Fatima Mitchell</t>
  </si>
  <si>
    <t>Hugo Singh</t>
  </si>
  <si>
    <t>Nina Ali</t>
  </si>
  <si>
    <t>Leo Murphy</t>
  </si>
  <si>
    <t>Grace Smith</t>
  </si>
  <si>
    <t>Chloe Taylor</t>
  </si>
  <si>
    <t>Jack Jackson</t>
  </si>
  <si>
    <t>Mila Martin</t>
  </si>
  <si>
    <t>David Martinez</t>
  </si>
  <si>
    <t>Hannah Lewis</t>
  </si>
  <si>
    <t>Victor Allen</t>
  </si>
  <si>
    <t>Ruby Wright</t>
  </si>
  <si>
    <t>Anaya Baker</t>
  </si>
  <si>
    <t>Ava Carter</t>
  </si>
  <si>
    <t>Liam Patel</t>
  </si>
  <si>
    <t>Noah Sharma</t>
  </si>
  <si>
    <t>Emma Campbell</t>
  </si>
  <si>
    <t>Olivia Brooks</t>
  </si>
  <si>
    <t>Elijah Brown</t>
  </si>
  <si>
    <t>Sophia Thomas</t>
  </si>
  <si>
    <t>Mason Harris</t>
  </si>
  <si>
    <t>Isabella Garcia</t>
  </si>
  <si>
    <t>Lucas Clark</t>
  </si>
  <si>
    <t>Mia Hall</t>
  </si>
  <si>
    <t>Amelia King</t>
  </si>
  <si>
    <t>Harper Green</t>
  </si>
  <si>
    <t>Ethan Nelson</t>
  </si>
  <si>
    <t>James Perez</t>
  </si>
  <si>
    <t>Charlotte Khan</t>
  </si>
  <si>
    <t>Benjamin Rivera</t>
  </si>
  <si>
    <t>Evelyn Reed</t>
  </si>
  <si>
    <t>Aria Johnson</t>
  </si>
  <si>
    <t>Henry Anderson</t>
  </si>
  <si>
    <t>Aiden White</t>
  </si>
  <si>
    <t>Scarlett Thompson</t>
  </si>
  <si>
    <t>Ella Robinson</t>
  </si>
  <si>
    <t>Michael Walker</t>
  </si>
  <si>
    <t>Daniel Young</t>
  </si>
  <si>
    <t>Sofia Scott</t>
  </si>
  <si>
    <t>Levi Adams</t>
  </si>
  <si>
    <t>Mateo Mitchell</t>
  </si>
  <si>
    <t>Neha Singh</t>
  </si>
  <si>
    <t>Priya Ali</t>
  </si>
  <si>
    <t>Arjun Murphy</t>
  </si>
  <si>
    <t>Sana Smith</t>
  </si>
  <si>
    <t>Riya Taylor</t>
  </si>
  <si>
    <t>Kabir Jackson</t>
  </si>
  <si>
    <t>Zara Martin</t>
  </si>
  <si>
    <t>Omar Martinez</t>
  </si>
  <si>
    <t>Layla Lewis</t>
  </si>
  <si>
    <t>Fatima Allen</t>
  </si>
  <si>
    <t>Hugo Wright</t>
  </si>
  <si>
    <t>Nina Baker</t>
  </si>
  <si>
    <t>Leo Carter</t>
  </si>
  <si>
    <t>Grace Patel</t>
  </si>
  <si>
    <t>Chloe Sharma</t>
  </si>
  <si>
    <t>Jack Campbell</t>
  </si>
  <si>
    <t>Mila Brooks</t>
  </si>
  <si>
    <t>David Brown</t>
  </si>
  <si>
    <t>Hannah Thomas</t>
  </si>
  <si>
    <t>Victor Harris</t>
  </si>
  <si>
    <t>Ruby Garcia</t>
  </si>
  <si>
    <t>Anaya Clark</t>
  </si>
  <si>
    <t>Ava Hall</t>
  </si>
  <si>
    <t>Liam King</t>
  </si>
  <si>
    <t>Noah Green</t>
  </si>
  <si>
    <t>Emma Nelson</t>
  </si>
  <si>
    <t>Olivia Perez</t>
  </si>
  <si>
    <t>Elijah Khan</t>
  </si>
  <si>
    <t>Sophia Rivera</t>
  </si>
  <si>
    <t>Mason Reed</t>
  </si>
  <si>
    <t>Isabella Johnson</t>
  </si>
  <si>
    <t>Lucas Anderson</t>
  </si>
  <si>
    <t>Mia White</t>
  </si>
  <si>
    <t>Amelia Thompson</t>
  </si>
  <si>
    <t>Harper Robinson</t>
  </si>
  <si>
    <t>Ethan Walker</t>
  </si>
  <si>
    <t>James Young</t>
  </si>
  <si>
    <t>Charlotte Scott</t>
  </si>
  <si>
    <t>Benjamin Adams</t>
  </si>
  <si>
    <t>Evelyn Mitchell</t>
  </si>
  <si>
    <t>Aria Singh</t>
  </si>
  <si>
    <t>Henry Ali</t>
  </si>
  <si>
    <t>Aiden Murphy</t>
  </si>
  <si>
    <t>Scarlett Smith</t>
  </si>
  <si>
    <t>Ella Taylor</t>
  </si>
  <si>
    <t>Michael Jackson</t>
  </si>
  <si>
    <t>Daniel Martin</t>
  </si>
  <si>
    <t>Sofia Martinez</t>
  </si>
  <si>
    <t>Levi Lewis</t>
  </si>
  <si>
    <t>Mateo Allen</t>
  </si>
  <si>
    <t>Neha Wright</t>
  </si>
  <si>
    <t>Priya Baker</t>
  </si>
  <si>
    <t>Arjun Carter</t>
  </si>
  <si>
    <t>Sana Patel</t>
  </si>
  <si>
    <t>Riya Sharma</t>
  </si>
  <si>
    <t>Kabir Campbell</t>
  </si>
  <si>
    <t>Zara Brooks</t>
  </si>
  <si>
    <t>Omar Brown</t>
  </si>
  <si>
    <t>Layla Thomas</t>
  </si>
  <si>
    <t>Fatima Harris</t>
  </si>
  <si>
    <t>Hugo Garcia</t>
  </si>
  <si>
    <t>Nina Clark</t>
  </si>
  <si>
    <t>Leo Hall</t>
  </si>
  <si>
    <t>Grace King</t>
  </si>
  <si>
    <t>Chloe Green</t>
  </si>
  <si>
    <t>Jack Nelson</t>
  </si>
  <si>
    <t>Mila Perez</t>
  </si>
  <si>
    <t>David Khan</t>
  </si>
  <si>
    <t>Hannah Rivera</t>
  </si>
  <si>
    <t>Victor Reed</t>
  </si>
  <si>
    <t>Ruby Johnson</t>
  </si>
  <si>
    <t>Anaya Anderson</t>
  </si>
  <si>
    <t>Adams, Sophia</t>
  </si>
  <si>
    <t>Mitchell, Mason</t>
  </si>
  <si>
    <t>Singh, Isabella</t>
  </si>
  <si>
    <t>Ali, Lucas</t>
  </si>
  <si>
    <t>Murphy, Mia</t>
  </si>
  <si>
    <t>Taylor, Harper</t>
  </si>
  <si>
    <t>Jackson, Ethan</t>
  </si>
  <si>
    <t>Martin, James</t>
  </si>
  <si>
    <t>Martinez, Charlotte</t>
  </si>
  <si>
    <t>Lewis, Benjamin</t>
  </si>
  <si>
    <t>Allen, Evelyn</t>
  </si>
  <si>
    <t>Wright, Aria</t>
  </si>
  <si>
    <t>Baker, Henry</t>
  </si>
  <si>
    <t>Carter, Aiden</t>
  </si>
  <si>
    <t>Sharma, Ella</t>
  </si>
  <si>
    <t>Campbell, Michael</t>
  </si>
  <si>
    <t>Brooks, Daniel</t>
  </si>
  <si>
    <t>Brown, Sofia</t>
  </si>
  <si>
    <t>Thomas, Levi</t>
  </si>
  <si>
    <t>Harris, Mateo</t>
  </si>
  <si>
    <t>Garcia, Neha</t>
  </si>
  <si>
    <t>Clark, Priya</t>
  </si>
  <si>
    <t>Hall, Arjun</t>
  </si>
  <si>
    <t>Green, Riya</t>
  </si>
  <si>
    <t>Nelson, Kabir</t>
  </si>
  <si>
    <t>Perez, Zara</t>
  </si>
  <si>
    <t>Khan, Omar</t>
  </si>
  <si>
    <t>Rivera, Layla</t>
  </si>
  <si>
    <t>Reed, Fatima</t>
  </si>
  <si>
    <t>Johnson, Hugo</t>
  </si>
  <si>
    <t>Anderson, Nina</t>
  </si>
  <si>
    <t>White, Leo</t>
  </si>
  <si>
    <t>Robinson, Chloe</t>
  </si>
  <si>
    <t>Walker, Jack</t>
  </si>
  <si>
    <t>Young, Mila</t>
  </si>
  <si>
    <t>Scott, David</t>
  </si>
  <si>
    <t>Adams, Hannah</t>
  </si>
  <si>
    <t>Mitchell, Victor</t>
  </si>
  <si>
    <t>Singh, Ruby</t>
  </si>
  <si>
    <t>Ali, Anaya</t>
  </si>
  <si>
    <t>Murphy, Ava</t>
  </si>
  <si>
    <t>Taylor, Noah</t>
  </si>
  <si>
    <t>Jackson, Emma</t>
  </si>
  <si>
    <t>Martin, Olivia</t>
  </si>
  <si>
    <t>Martinez, Elijah</t>
  </si>
  <si>
    <t>Lewis, Sophia</t>
  </si>
  <si>
    <t>Allen, Mason</t>
  </si>
  <si>
    <t>Wright, Isabella</t>
  </si>
  <si>
    <t>Baker, Lucas</t>
  </si>
  <si>
    <t>Carter, Mia</t>
  </si>
  <si>
    <t>Sharma, Harper</t>
  </si>
  <si>
    <t>Campbell, Ethan</t>
  </si>
  <si>
    <t>Brooks, James</t>
  </si>
  <si>
    <t>Brown, Charlotte</t>
  </si>
  <si>
    <t>Thomas, Benjamin</t>
  </si>
  <si>
    <t>Harris, Evelyn</t>
  </si>
  <si>
    <t>Garcia, Aria</t>
  </si>
  <si>
    <t>Clark, Henry</t>
  </si>
  <si>
    <t>Hall, Aiden</t>
  </si>
  <si>
    <t>Green, Ella</t>
  </si>
  <si>
    <t>Nelson, Michael</t>
  </si>
  <si>
    <t>Perez, Daniel</t>
  </si>
  <si>
    <t>Khan, Sofia</t>
  </si>
  <si>
    <t>Rivera, Levi</t>
  </si>
  <si>
    <t>Reed, Mateo</t>
  </si>
  <si>
    <t>Johnson, Neha</t>
  </si>
  <si>
    <t>Anderson, Priya</t>
  </si>
  <si>
    <t>White, Arjun</t>
  </si>
  <si>
    <t>Robinson, Riya</t>
  </si>
  <si>
    <t>Walker, Kabir</t>
  </si>
  <si>
    <t>Young, Zara</t>
  </si>
  <si>
    <t>Scott, Omar</t>
  </si>
  <si>
    <t>Adams, Layla</t>
  </si>
  <si>
    <t>Mitchell, Fatima</t>
  </si>
  <si>
    <t>Singh, Hugo</t>
  </si>
  <si>
    <t>Ali, Nina</t>
  </si>
  <si>
    <t>Murphy, Leo</t>
  </si>
  <si>
    <t>Taylor, Chloe</t>
  </si>
  <si>
    <t>Jackson, Jack</t>
  </si>
  <si>
    <t>Martin, Mila</t>
  </si>
  <si>
    <t>Martinez, David</t>
  </si>
  <si>
    <t>Lewis, Hannah</t>
  </si>
  <si>
    <t>Allen, Victor</t>
  </si>
  <si>
    <t>Wright, Ruby</t>
  </si>
  <si>
    <t>Baker, Anaya</t>
  </si>
  <si>
    <t>Carter, Ava</t>
  </si>
  <si>
    <t>Sharma, Noah</t>
  </si>
  <si>
    <t>Campbell, Emma</t>
  </si>
  <si>
    <t>Brooks, Olivia</t>
  </si>
  <si>
    <t>Brown, Elijah</t>
  </si>
  <si>
    <t>Thomas, Sophia</t>
  </si>
  <si>
    <t>Harris, Mason</t>
  </si>
  <si>
    <t>Garcia, Isabella</t>
  </si>
  <si>
    <t>Clark, Lucas</t>
  </si>
  <si>
    <t>Hall, Mia</t>
  </si>
  <si>
    <t>Green, Harper</t>
  </si>
  <si>
    <t>Nelson, Ethan</t>
  </si>
  <si>
    <t>Perez, James</t>
  </si>
  <si>
    <t>Khan, Charlotte</t>
  </si>
  <si>
    <t>Rivera, Benjamin</t>
  </si>
  <si>
    <t>Reed, Evelyn</t>
  </si>
  <si>
    <t>Johnson, Aria</t>
  </si>
  <si>
    <t>Anderson, Henry</t>
  </si>
  <si>
    <t>White, Aiden</t>
  </si>
  <si>
    <t>Robinson, Ella</t>
  </si>
  <si>
    <t>Walker, Michael</t>
  </si>
  <si>
    <t>Young, Daniel</t>
  </si>
  <si>
    <t>Scott, Sofia</t>
  </si>
  <si>
    <t>Adams, Levi</t>
  </si>
  <si>
    <t>Mitchell, Mateo</t>
  </si>
  <si>
    <t>Singh, Neha</t>
  </si>
  <si>
    <t>Ali, Priya</t>
  </si>
  <si>
    <t>Murphy, Arjun</t>
  </si>
  <si>
    <t>Taylor, Riya</t>
  </si>
  <si>
    <t>Jackson, Kabir</t>
  </si>
  <si>
    <t>Martin, Zara</t>
  </si>
  <si>
    <t>Martinez, Omar</t>
  </si>
  <si>
    <t>Lewis, Layla</t>
  </si>
  <si>
    <t>Allen, Fatima</t>
  </si>
  <si>
    <t>Wright, Hugo</t>
  </si>
  <si>
    <t>Baker, Nina</t>
  </si>
  <si>
    <t>Carter, Leo</t>
  </si>
  <si>
    <t>Sharma, Chloe</t>
  </si>
  <si>
    <t>Campbell, Jack</t>
  </si>
  <si>
    <t>Brooks, Mila</t>
  </si>
  <si>
    <t>Brown, David</t>
  </si>
  <si>
    <t>Thomas, Hannah</t>
  </si>
  <si>
    <t>Harris, Victor</t>
  </si>
  <si>
    <t>Garcia, Ruby</t>
  </si>
  <si>
    <t>Clark, Anaya</t>
  </si>
  <si>
    <t>Hall, Ava</t>
  </si>
  <si>
    <t>Green, Noah</t>
  </si>
  <si>
    <t>Nelson, Emma</t>
  </si>
  <si>
    <t>Perez, Olivia</t>
  </si>
  <si>
    <t>Khan, Elijah</t>
  </si>
  <si>
    <t>Rivera, Sophia</t>
  </si>
  <si>
    <t>Reed, Mason</t>
  </si>
  <si>
    <t>Johnson, Isabella</t>
  </si>
  <si>
    <t>Anderson, Lucas</t>
  </si>
  <si>
    <t>White, Mia</t>
  </si>
  <si>
    <t>Robinson, Harper</t>
  </si>
  <si>
    <t>Walker, Ethan</t>
  </si>
  <si>
    <t>Young, James</t>
  </si>
  <si>
    <t>Scott, Charlotte</t>
  </si>
  <si>
    <t>Adams, Benjamin</t>
  </si>
  <si>
    <t>Mitchell, Evelyn</t>
  </si>
  <si>
    <t>Singh, Aria</t>
  </si>
  <si>
    <t>Ali, Henry</t>
  </si>
  <si>
    <t>Murphy, Aiden</t>
  </si>
  <si>
    <t>Taylor, Ella</t>
  </si>
  <si>
    <t>Jackson, Michael</t>
  </si>
  <si>
    <t>Martin, Daniel</t>
  </si>
  <si>
    <t>Martinez, Sofia</t>
  </si>
  <si>
    <t>Lewis, Levi</t>
  </si>
  <si>
    <t>Allen, Mateo</t>
  </si>
  <si>
    <t>Wright, Neha</t>
  </si>
  <si>
    <t>Baker, Priya</t>
  </si>
  <si>
    <t>Carter, Arjun</t>
  </si>
  <si>
    <t>Sharma, Riya</t>
  </si>
  <si>
    <t>Campbell, Kabir</t>
  </si>
  <si>
    <t>Brooks, Zara</t>
  </si>
  <si>
    <t>Brown, Omar</t>
  </si>
  <si>
    <t>Thomas, Layla</t>
  </si>
  <si>
    <t>Harris, Fatima</t>
  </si>
  <si>
    <t>Garcia, Hugo</t>
  </si>
  <si>
    <t>Clark, Nina</t>
  </si>
  <si>
    <t>Hall, Leo</t>
  </si>
  <si>
    <t>Green, Chloe</t>
  </si>
  <si>
    <t>Nelson, Jack</t>
  </si>
  <si>
    <t>Perez, Mila</t>
  </si>
  <si>
    <t>Khan, David</t>
  </si>
  <si>
    <t>Rivera, Hannah</t>
  </si>
  <si>
    <t>Reed, Victor</t>
  </si>
  <si>
    <t>Johnson, Ruby</t>
  </si>
  <si>
    <t>Anderson, Anaya</t>
  </si>
  <si>
    <t>TABW</t>
  </si>
  <si>
    <t>MOUG</t>
  </si>
  <si>
    <t>CAMW</t>
  </si>
  <si>
    <t>DESG</t>
  </si>
  <si>
    <t>NOTW</t>
  </si>
  <si>
    <t>POWG</t>
  </si>
  <si>
    <t>sadams106</t>
  </si>
  <si>
    <t>spatel121</t>
  </si>
  <si>
    <t>sbrown125</t>
  </si>
  <si>
    <t>mmitchell107</t>
  </si>
  <si>
    <t>isingh108</t>
  </si>
  <si>
    <t>lali109</t>
  </si>
  <si>
    <t>mmurphy110</t>
  </si>
  <si>
    <t>asmith111</t>
  </si>
  <si>
    <t>htaylor112</t>
  </si>
  <si>
    <t>ejackson113</t>
  </si>
  <si>
    <t>jmartin114</t>
  </si>
  <si>
    <t>cmartinez115</t>
  </si>
  <si>
    <t>blewis116</t>
  </si>
  <si>
    <t>eallen117</t>
  </si>
  <si>
    <t>awright118</t>
  </si>
  <si>
    <t>hbaker119</t>
  </si>
  <si>
    <t>acarter120</t>
  </si>
  <si>
    <t>esharma122</t>
  </si>
  <si>
    <t>mcampbell123</t>
  </si>
  <si>
    <t>dbrooks124</t>
  </si>
  <si>
    <t>lthomas126</t>
  </si>
  <si>
    <t>mharris127</t>
  </si>
  <si>
    <t>ngarcia128</t>
  </si>
  <si>
    <t>pclark129</t>
  </si>
  <si>
    <t>ahall130</t>
  </si>
  <si>
    <t>sking131</t>
  </si>
  <si>
    <t>rgreen132</t>
  </si>
  <si>
    <t>knelson133</t>
  </si>
  <si>
    <t>zperez134</t>
  </si>
  <si>
    <t>okhan135</t>
  </si>
  <si>
    <t>lrivera136</t>
  </si>
  <si>
    <t>freed137</t>
  </si>
  <si>
    <t>hjohnson138</t>
  </si>
  <si>
    <t>nanderson139</t>
  </si>
  <si>
    <t>lwhite140</t>
  </si>
  <si>
    <t>gthompson141</t>
  </si>
  <si>
    <t>crobinson142</t>
  </si>
  <si>
    <t>jwalker143</t>
  </si>
  <si>
    <t>myoung144</t>
  </si>
  <si>
    <t>dscott145</t>
  </si>
  <si>
    <t>hadams146</t>
  </si>
  <si>
    <t>vmitchell147</t>
  </si>
  <si>
    <t>rsingh148</t>
  </si>
  <si>
    <t>aali149</t>
  </si>
  <si>
    <t>amurphy150</t>
  </si>
  <si>
    <t>lsmith151</t>
  </si>
  <si>
    <t>ntaylor152</t>
  </si>
  <si>
    <t>ejackson153</t>
  </si>
  <si>
    <t>omartin154</t>
  </si>
  <si>
    <t>emartinez155</t>
  </si>
  <si>
    <t>slewis156</t>
  </si>
  <si>
    <t>mallen157</t>
  </si>
  <si>
    <t>iwright158</t>
  </si>
  <si>
    <t>lbaker159</t>
  </si>
  <si>
    <t>mcarter160</t>
  </si>
  <si>
    <t>apatel161</t>
  </si>
  <si>
    <t>hsharma162</t>
  </si>
  <si>
    <t>ecampbell163</t>
  </si>
  <si>
    <t>jbrooks164</t>
  </si>
  <si>
    <t>cbrown165</t>
  </si>
  <si>
    <t>bthomas166</t>
  </si>
  <si>
    <t>eharris167</t>
  </si>
  <si>
    <t>agarcia168</t>
  </si>
  <si>
    <t>hclark169</t>
  </si>
  <si>
    <t>ahall170</t>
  </si>
  <si>
    <t>sking171</t>
  </si>
  <si>
    <t>egreen172</t>
  </si>
  <si>
    <t>mnelson173</t>
  </si>
  <si>
    <t>dperez174</t>
  </si>
  <si>
    <t>skhan175</t>
  </si>
  <si>
    <t>lrivera176</t>
  </si>
  <si>
    <t>mreed177</t>
  </si>
  <si>
    <t>njohnson178</t>
  </si>
  <si>
    <t>panderson179</t>
  </si>
  <si>
    <t>awhite180</t>
  </si>
  <si>
    <t>sthompson181</t>
  </si>
  <si>
    <t>rrobinson182</t>
  </si>
  <si>
    <t>kwalker183</t>
  </si>
  <si>
    <t>zyoung184</t>
  </si>
  <si>
    <t>oscott185</t>
  </si>
  <si>
    <t>ladams186</t>
  </si>
  <si>
    <t>fmitchell187</t>
  </si>
  <si>
    <t>hsingh188</t>
  </si>
  <si>
    <t>nali189</t>
  </si>
  <si>
    <t>lmurphy190</t>
  </si>
  <si>
    <t>gsmith191</t>
  </si>
  <si>
    <t>ctaylor192</t>
  </si>
  <si>
    <t>jjackson193</t>
  </si>
  <si>
    <t>mmartin194</t>
  </si>
  <si>
    <t>dmartinez195</t>
  </si>
  <si>
    <t>hlewis196</t>
  </si>
  <si>
    <t>vallen197</t>
  </si>
  <si>
    <t>rwright198</t>
  </si>
  <si>
    <t>abaker199</t>
  </si>
  <si>
    <t>acarter200</t>
  </si>
  <si>
    <t>lpatel201</t>
  </si>
  <si>
    <t>nsharma202</t>
  </si>
  <si>
    <t>ecampbell203</t>
  </si>
  <si>
    <t>obrooks204</t>
  </si>
  <si>
    <t>ebrown205</t>
  </si>
  <si>
    <t>sthomas206</t>
  </si>
  <si>
    <t>mharris207</t>
  </si>
  <si>
    <t>igarcia208</t>
  </si>
  <si>
    <t>lclark209</t>
  </si>
  <si>
    <t>mhall210</t>
  </si>
  <si>
    <t>aking211</t>
  </si>
  <si>
    <t>hgreen212</t>
  </si>
  <si>
    <t>enelson213</t>
  </si>
  <si>
    <t>jperez214</t>
  </si>
  <si>
    <t>ckhan215</t>
  </si>
  <si>
    <t>brivera216</t>
  </si>
  <si>
    <t>ereed217</t>
  </si>
  <si>
    <t>ajohnson218</t>
  </si>
  <si>
    <t>handerson219</t>
  </si>
  <si>
    <t>awhite220</t>
  </si>
  <si>
    <t>sthompson221</t>
  </si>
  <si>
    <t>erobinson222</t>
  </si>
  <si>
    <t>mwalker223</t>
  </si>
  <si>
    <t>dyoung224</t>
  </si>
  <si>
    <t>sscott225</t>
  </si>
  <si>
    <t>ladams226</t>
  </si>
  <si>
    <t>mmitchell227</t>
  </si>
  <si>
    <t>nsingh228</t>
  </si>
  <si>
    <t>pali229</t>
  </si>
  <si>
    <t>amurphy230</t>
  </si>
  <si>
    <t>ssmith231</t>
  </si>
  <si>
    <t>rtaylor232</t>
  </si>
  <si>
    <t>kjackson233</t>
  </si>
  <si>
    <t>zmartin234</t>
  </si>
  <si>
    <t>omartinez235</t>
  </si>
  <si>
    <t>llewis236</t>
  </si>
  <si>
    <t>fallen237</t>
  </si>
  <si>
    <t>hwright238</t>
  </si>
  <si>
    <t>nbaker239</t>
  </si>
  <si>
    <t>lcarter240</t>
  </si>
  <si>
    <t>gpatel241</t>
  </si>
  <si>
    <t>csharma242</t>
  </si>
  <si>
    <t>jcampbell243</t>
  </si>
  <si>
    <t>mbrooks244</t>
  </si>
  <si>
    <t>dbrown245</t>
  </si>
  <si>
    <t>hthomas246</t>
  </si>
  <si>
    <t>vharris247</t>
  </si>
  <si>
    <t>rgarcia248</t>
  </si>
  <si>
    <t>aclark249</t>
  </si>
  <si>
    <t>ahall250</t>
  </si>
  <si>
    <t>lking251</t>
  </si>
  <si>
    <t>ngreen252</t>
  </si>
  <si>
    <t>enelson253</t>
  </si>
  <si>
    <t>operez254</t>
  </si>
  <si>
    <t>ekhan255</t>
  </si>
  <si>
    <t>srivera256</t>
  </si>
  <si>
    <t>mreed257</t>
  </si>
  <si>
    <t>ijohnson258</t>
  </si>
  <si>
    <t>landerson259</t>
  </si>
  <si>
    <t>mwhite260</t>
  </si>
  <si>
    <t>athompson261</t>
  </si>
  <si>
    <t>hrobinson262</t>
  </si>
  <si>
    <t>ewalker263</t>
  </si>
  <si>
    <t>jyoung264</t>
  </si>
  <si>
    <t>cscott265</t>
  </si>
  <si>
    <t>badams266</t>
  </si>
  <si>
    <t>emitchell267</t>
  </si>
  <si>
    <t>asingh268</t>
  </si>
  <si>
    <t>hali269</t>
  </si>
  <si>
    <t>amurphy270</t>
  </si>
  <si>
    <t>ssmith271</t>
  </si>
  <si>
    <t>etaylor272</t>
  </si>
  <si>
    <t>mjackson273</t>
  </si>
  <si>
    <t>dmartin274</t>
  </si>
  <si>
    <t>smartinez275</t>
  </si>
  <si>
    <t>llewis276</t>
  </si>
  <si>
    <t>mallen277</t>
  </si>
  <si>
    <t>nwright278</t>
  </si>
  <si>
    <t>pbaker279</t>
  </si>
  <si>
    <t>acarter280</t>
  </si>
  <si>
    <t>spatel281</t>
  </si>
  <si>
    <t>rsharma282</t>
  </si>
  <si>
    <t>kcampbell283</t>
  </si>
  <si>
    <t>zbrooks284</t>
  </si>
  <si>
    <t>obrown285</t>
  </si>
  <si>
    <t>lthomas286</t>
  </si>
  <si>
    <t>fharris287</t>
  </si>
  <si>
    <t>hgarcia288</t>
  </si>
  <si>
    <t>nclark289</t>
  </si>
  <si>
    <t>lhall290</t>
  </si>
  <si>
    <t>gking291</t>
  </si>
  <si>
    <t>cgreen292</t>
  </si>
  <si>
    <t>jnelson293</t>
  </si>
  <si>
    <t>mperez294</t>
  </si>
  <si>
    <t>dkhan295</t>
  </si>
  <si>
    <t>hrivera296</t>
  </si>
  <si>
    <t>vreed297</t>
  </si>
  <si>
    <t>rjohnson298</t>
  </si>
  <si>
    <t>aanderson299</t>
  </si>
  <si>
    <t>awhite300</t>
  </si>
  <si>
    <t>lthompson301</t>
  </si>
  <si>
    <t>nrobinson302</t>
  </si>
  <si>
    <t>ewalker303</t>
  </si>
  <si>
    <t>oyoung304</t>
  </si>
  <si>
    <t>escott305</t>
  </si>
  <si>
    <t>sadams306</t>
  </si>
  <si>
    <t>mmitchell307</t>
  </si>
  <si>
    <t>isingh308</t>
  </si>
  <si>
    <t>lali309</t>
  </si>
  <si>
    <t>mmurphy310</t>
  </si>
  <si>
    <t>asmith311</t>
  </si>
  <si>
    <t>htaylor312</t>
  </si>
  <si>
    <t>ejackson313</t>
  </si>
  <si>
    <t>jmartin314</t>
  </si>
  <si>
    <t>cmartinez315</t>
  </si>
  <si>
    <t>blewis316</t>
  </si>
  <si>
    <t>eallen317</t>
  </si>
  <si>
    <t>awright318</t>
  </si>
  <si>
    <t>hbaker319</t>
  </si>
  <si>
    <t>acarter320</t>
  </si>
  <si>
    <t>spatel321</t>
  </si>
  <si>
    <t>esharma322</t>
  </si>
  <si>
    <t>mcampbell323</t>
  </si>
  <si>
    <t>dbrooks324</t>
  </si>
  <si>
    <t>sbrown325</t>
  </si>
  <si>
    <t>lthomas326</t>
  </si>
  <si>
    <t>mharris327</t>
  </si>
  <si>
    <t>ngarcia328</t>
  </si>
  <si>
    <t>pclark329</t>
  </si>
  <si>
    <t>ahall330</t>
  </si>
  <si>
    <t>sking331</t>
  </si>
  <si>
    <t>rgreen332</t>
  </si>
  <si>
    <t>knelson333</t>
  </si>
  <si>
    <t>zperez334</t>
  </si>
  <si>
    <t>okhan335</t>
  </si>
  <si>
    <t>lrivera336</t>
  </si>
  <si>
    <t>freed337</t>
  </si>
  <si>
    <t>hjohnson338</t>
  </si>
  <si>
    <t>nanderson339</t>
  </si>
  <si>
    <t>lwhite340</t>
  </si>
  <si>
    <t>gthompson341</t>
  </si>
  <si>
    <t>crobinson342</t>
  </si>
  <si>
    <t>jwalker343</t>
  </si>
  <si>
    <t>myoung344</t>
  </si>
  <si>
    <t>dscott345</t>
  </si>
  <si>
    <t>hadams346</t>
  </si>
  <si>
    <t>vmitchell347</t>
  </si>
  <si>
    <t>rsingh348</t>
  </si>
  <si>
    <t>aali349</t>
  </si>
  <si>
    <t>amurphy350</t>
  </si>
  <si>
    <t>lsmith351</t>
  </si>
  <si>
    <t>ntaylor352</t>
  </si>
  <si>
    <t>ejackson353</t>
  </si>
  <si>
    <t>omartin354</t>
  </si>
  <si>
    <t>emartinez355</t>
  </si>
  <si>
    <t>slewis356</t>
  </si>
  <si>
    <t>mallen357</t>
  </si>
  <si>
    <t>iwright358</t>
  </si>
  <si>
    <t>lbaker359</t>
  </si>
  <si>
    <t>mcarter360</t>
  </si>
  <si>
    <t>apatel361</t>
  </si>
  <si>
    <t>hsharma362</t>
  </si>
  <si>
    <t>ecampbell363</t>
  </si>
  <si>
    <t>jbrooks364</t>
  </si>
  <si>
    <t>cbrown365</t>
  </si>
  <si>
    <t>bthomas366</t>
  </si>
  <si>
    <t>eharris367</t>
  </si>
  <si>
    <t>agarcia368</t>
  </si>
  <si>
    <t>hclark369</t>
  </si>
  <si>
    <t>ahall370</t>
  </si>
  <si>
    <t>sking371</t>
  </si>
  <si>
    <t>egreen372</t>
  </si>
  <si>
    <t>mnelson373</t>
  </si>
  <si>
    <t>dperez374</t>
  </si>
  <si>
    <t>skhan375</t>
  </si>
  <si>
    <t>lrivera376</t>
  </si>
  <si>
    <t>mreed377</t>
  </si>
  <si>
    <t>njohnson378</t>
  </si>
  <si>
    <t>panderson379</t>
  </si>
  <si>
    <t>awhite380</t>
  </si>
  <si>
    <t>sthompson381</t>
  </si>
  <si>
    <t>rrobinson382</t>
  </si>
  <si>
    <t>kwalker383</t>
  </si>
  <si>
    <t>zyoung384</t>
  </si>
  <si>
    <t>oscott385</t>
  </si>
  <si>
    <t>ladams386</t>
  </si>
  <si>
    <t>fmitchell387</t>
  </si>
  <si>
    <t>hsingh388</t>
  </si>
  <si>
    <t>nali389</t>
  </si>
  <si>
    <t>lmurphy390</t>
  </si>
  <si>
    <t>gsmith391</t>
  </si>
  <si>
    <t>ctaylor392</t>
  </si>
  <si>
    <t>jjackson393</t>
  </si>
  <si>
    <t>mmartin394</t>
  </si>
  <si>
    <t>dmartinez395</t>
  </si>
  <si>
    <t>hlewis396</t>
  </si>
  <si>
    <t>vallen397</t>
  </si>
  <si>
    <t>rwright398</t>
  </si>
  <si>
    <t>abaker399</t>
  </si>
  <si>
    <t>acarter400</t>
  </si>
  <si>
    <t>lpatel401</t>
  </si>
  <si>
    <t>nsharma402</t>
  </si>
  <si>
    <t>ecampbell403</t>
  </si>
  <si>
    <t>obrooks404</t>
  </si>
  <si>
    <t>ebrown405</t>
  </si>
  <si>
    <t>sthomas406</t>
  </si>
  <si>
    <t>mharris407</t>
  </si>
  <si>
    <t>igarcia408</t>
  </si>
  <si>
    <t>lclark409</t>
  </si>
  <si>
    <t>mhall410</t>
  </si>
  <si>
    <t>aking411</t>
  </si>
  <si>
    <t>hgreen412</t>
  </si>
  <si>
    <t>enelson413</t>
  </si>
  <si>
    <t>jperez414</t>
  </si>
  <si>
    <t>ckhan415</t>
  </si>
  <si>
    <t>brivera416</t>
  </si>
  <si>
    <t>ereed417</t>
  </si>
  <si>
    <t>ajohnson418</t>
  </si>
  <si>
    <t>handerson419</t>
  </si>
  <si>
    <t>awhite420</t>
  </si>
  <si>
    <t>sthompson421</t>
  </si>
  <si>
    <t>erobinson422</t>
  </si>
  <si>
    <t>mwalker423</t>
  </si>
  <si>
    <t>dyoung424</t>
  </si>
  <si>
    <t>sscott425</t>
  </si>
  <si>
    <t>ladams426</t>
  </si>
  <si>
    <t>mmitchell427</t>
  </si>
  <si>
    <t>nsingh428</t>
  </si>
  <si>
    <t>pali429</t>
  </si>
  <si>
    <t>amurphy430</t>
  </si>
  <si>
    <t>ssmith431</t>
  </si>
  <si>
    <t>rtaylor432</t>
  </si>
  <si>
    <t>kjackson433</t>
  </si>
  <si>
    <t>zmartin434</t>
  </si>
  <si>
    <t>omartinez435</t>
  </si>
  <si>
    <t>llewis436</t>
  </si>
  <si>
    <t>fallen437</t>
  </si>
  <si>
    <t>hwright438</t>
  </si>
  <si>
    <t>nbaker439</t>
  </si>
  <si>
    <t>lcarter440</t>
  </si>
  <si>
    <t>gpatel441</t>
  </si>
  <si>
    <t>csharma442</t>
  </si>
  <si>
    <t>jcampbell443</t>
  </si>
  <si>
    <t>mbrooks444</t>
  </si>
  <si>
    <t>dbrown445</t>
  </si>
  <si>
    <t>hthomas446</t>
  </si>
  <si>
    <t>vharris447</t>
  </si>
  <si>
    <t>rgarcia448</t>
  </si>
  <si>
    <t>aclark449</t>
  </si>
  <si>
    <t>ahall450</t>
  </si>
  <si>
    <t>lking451</t>
  </si>
  <si>
    <t>ngreen452</t>
  </si>
  <si>
    <t>enelson453</t>
  </si>
  <si>
    <t>operez454</t>
  </si>
  <si>
    <t>ekhan455</t>
  </si>
  <si>
    <t>srivera456</t>
  </si>
  <si>
    <t>mreed457</t>
  </si>
  <si>
    <t>ijohnson458</t>
  </si>
  <si>
    <t>landerson459</t>
  </si>
  <si>
    <t>mwhite460</t>
  </si>
  <si>
    <t>athompson461</t>
  </si>
  <si>
    <t>hrobinson462</t>
  </si>
  <si>
    <t>ewalker463</t>
  </si>
  <si>
    <t>jyoung464</t>
  </si>
  <si>
    <t>cscott465</t>
  </si>
  <si>
    <t>badams466</t>
  </si>
  <si>
    <t>emitchell467</t>
  </si>
  <si>
    <t>asingh468</t>
  </si>
  <si>
    <t>hali469</t>
  </si>
  <si>
    <t>amurphy470</t>
  </si>
  <si>
    <t>ssmith471</t>
  </si>
  <si>
    <t>etaylor472</t>
  </si>
  <si>
    <t>mjackson473</t>
  </si>
  <si>
    <t>dmartin474</t>
  </si>
  <si>
    <t>smartinez475</t>
  </si>
  <si>
    <t>llewis476</t>
  </si>
  <si>
    <t>mallen477</t>
  </si>
  <si>
    <t>nwright478</t>
  </si>
  <si>
    <t>pbaker479</t>
  </si>
  <si>
    <t>acarter480</t>
  </si>
  <si>
    <t>spatel481</t>
  </si>
  <si>
    <t>rsharma482</t>
  </si>
  <si>
    <t>kcampbell483</t>
  </si>
  <si>
    <t>zbrooks484</t>
  </si>
  <si>
    <t>obrown485</t>
  </si>
  <si>
    <t>lthomas486</t>
  </si>
  <si>
    <t>fharris487</t>
  </si>
  <si>
    <t>hgarcia488</t>
  </si>
  <si>
    <t>nclark489</t>
  </si>
  <si>
    <t>lhall490</t>
  </si>
  <si>
    <t>gking491</t>
  </si>
  <si>
    <t>cgreen492</t>
  </si>
  <si>
    <t>jnelson493</t>
  </si>
  <si>
    <t>mperez494</t>
  </si>
  <si>
    <t>dkhan495</t>
  </si>
  <si>
    <t>hrivera496</t>
  </si>
  <si>
    <t>vreed497</t>
  </si>
  <si>
    <t>rjohnson498</t>
  </si>
  <si>
    <t>aanderson499</t>
  </si>
  <si>
    <t>awhite500</t>
  </si>
  <si>
    <t>lthompson501</t>
  </si>
  <si>
    <t>nrobinson502</t>
  </si>
  <si>
    <t>ewalker503</t>
  </si>
  <si>
    <t>oyoung504</t>
  </si>
  <si>
    <t>escott505</t>
  </si>
  <si>
    <t>sadams506</t>
  </si>
  <si>
    <t>mmitchell507</t>
  </si>
  <si>
    <t>isingh508</t>
  </si>
  <si>
    <t>lali509</t>
  </si>
  <si>
    <t>mmurphy510</t>
  </si>
  <si>
    <t>asmith511</t>
  </si>
  <si>
    <t>htaylor512</t>
  </si>
  <si>
    <t>ejackson513</t>
  </si>
  <si>
    <t>jmartin514</t>
  </si>
  <si>
    <t>cmartinez515</t>
  </si>
  <si>
    <t>blewis516</t>
  </si>
  <si>
    <t>eallen517</t>
  </si>
  <si>
    <t>awright518</t>
  </si>
  <si>
    <t>hbaker519</t>
  </si>
  <si>
    <t>acarter520</t>
  </si>
  <si>
    <t>spatel521</t>
  </si>
  <si>
    <t>esharma522</t>
  </si>
  <si>
    <t>mcampbell523</t>
  </si>
  <si>
    <t>dbrooks524</t>
  </si>
  <si>
    <t>sbrown525</t>
  </si>
  <si>
    <t>lthomas526</t>
  </si>
  <si>
    <t>mharris527</t>
  </si>
  <si>
    <t>ngarcia528</t>
  </si>
  <si>
    <t>pclark529</t>
  </si>
  <si>
    <t>ahall530</t>
  </si>
  <si>
    <t>sking531</t>
  </si>
  <si>
    <t>rgreen532</t>
  </si>
  <si>
    <t>knelson533</t>
  </si>
  <si>
    <t>zperez534</t>
  </si>
  <si>
    <t>okhan535</t>
  </si>
  <si>
    <t>lrivera536</t>
  </si>
  <si>
    <t>freed537</t>
  </si>
  <si>
    <t>hjohnson538</t>
  </si>
  <si>
    <t>nanderson539</t>
  </si>
  <si>
    <t>lwhite540</t>
  </si>
  <si>
    <t>gthompson541</t>
  </si>
  <si>
    <t>crobinson542</t>
  </si>
  <si>
    <t>jwalker543</t>
  </si>
  <si>
    <t>myoung544</t>
  </si>
  <si>
    <t>dscott545</t>
  </si>
  <si>
    <t>hadams546</t>
  </si>
  <si>
    <t>vmitchell547</t>
  </si>
  <si>
    <t>rsingh548</t>
  </si>
  <si>
    <t>aali549</t>
  </si>
  <si>
    <t>amurphy550</t>
  </si>
  <si>
    <t>lsmith551</t>
  </si>
  <si>
    <t>ntaylor552</t>
  </si>
  <si>
    <t>ejackson553</t>
  </si>
  <si>
    <t>omartin554</t>
  </si>
  <si>
    <t>emartinez555</t>
  </si>
  <si>
    <t>slewis556</t>
  </si>
  <si>
    <t>mallen557</t>
  </si>
  <si>
    <t>iwright558</t>
  </si>
  <si>
    <t>lbaker559</t>
  </si>
  <si>
    <t>mcarter560</t>
  </si>
  <si>
    <t>apatel561</t>
  </si>
  <si>
    <t>hsharma562</t>
  </si>
  <si>
    <t>ecampbell563</t>
  </si>
  <si>
    <t>jbrooks564</t>
  </si>
  <si>
    <t>cbrown565</t>
  </si>
  <si>
    <t>bthomas566</t>
  </si>
  <si>
    <t>eharris567</t>
  </si>
  <si>
    <t>agarcia568</t>
  </si>
  <si>
    <t>hclark569</t>
  </si>
  <si>
    <t>ahall570</t>
  </si>
  <si>
    <t>sking571</t>
  </si>
  <si>
    <t>egreen572</t>
  </si>
  <si>
    <t>mnelson573</t>
  </si>
  <si>
    <t>dperez574</t>
  </si>
  <si>
    <t>skhan575</t>
  </si>
  <si>
    <t>lrivera576</t>
  </si>
  <si>
    <t>mreed577</t>
  </si>
  <si>
    <t>njohnson578</t>
  </si>
  <si>
    <t>panderson579</t>
  </si>
  <si>
    <t>awhite580</t>
  </si>
  <si>
    <t>sthompson581</t>
  </si>
  <si>
    <t>rrobinson582</t>
  </si>
  <si>
    <t>kwalker583</t>
  </si>
  <si>
    <t>zyoung584</t>
  </si>
  <si>
    <t>oscott585</t>
  </si>
  <si>
    <t>ladams586</t>
  </si>
  <si>
    <t>fmitchell587</t>
  </si>
  <si>
    <t>hsingh588</t>
  </si>
  <si>
    <t>nali589</t>
  </si>
  <si>
    <t>lmurphy590</t>
  </si>
  <si>
    <t>gsmith591</t>
  </si>
  <si>
    <t>ctaylor592</t>
  </si>
  <si>
    <t>jjackson593</t>
  </si>
  <si>
    <t>mmartin594</t>
  </si>
  <si>
    <t>dmartinez595</t>
  </si>
  <si>
    <t>hlewis596</t>
  </si>
  <si>
    <t>vallen597</t>
  </si>
  <si>
    <t>rwright598</t>
  </si>
  <si>
    <t>abaker599</t>
  </si>
  <si>
    <t>acarter600</t>
  </si>
  <si>
    <t>lpatel601</t>
  </si>
  <si>
    <t>nsharma602</t>
  </si>
  <si>
    <t>ecampbell603</t>
  </si>
  <si>
    <t>obrooks604</t>
  </si>
  <si>
    <t>ebrown605</t>
  </si>
  <si>
    <t>sthomas606</t>
  </si>
  <si>
    <t>mharris607</t>
  </si>
  <si>
    <t>igarcia608</t>
  </si>
  <si>
    <t>lclark609</t>
  </si>
  <si>
    <t>mhall610</t>
  </si>
  <si>
    <t>aking611</t>
  </si>
  <si>
    <t>hgreen612</t>
  </si>
  <si>
    <t>enelson613</t>
  </si>
  <si>
    <t>jperez614</t>
  </si>
  <si>
    <t>ckhan615</t>
  </si>
  <si>
    <t>brivera616</t>
  </si>
  <si>
    <t>ereed617</t>
  </si>
  <si>
    <t>ajohnson618</t>
  </si>
  <si>
    <t>handerson619</t>
  </si>
  <si>
    <t>awhite620</t>
  </si>
  <si>
    <t>sthompson621</t>
  </si>
  <si>
    <t>erobinson622</t>
  </si>
  <si>
    <t>mwalker623</t>
  </si>
  <si>
    <t>dyoung624</t>
  </si>
  <si>
    <t>sscott625</t>
  </si>
  <si>
    <t>ladams626</t>
  </si>
  <si>
    <t>mmitchell627</t>
  </si>
  <si>
    <t>nsingh628</t>
  </si>
  <si>
    <t>pali629</t>
  </si>
  <si>
    <t>amurphy630</t>
  </si>
  <si>
    <t>ssmith631</t>
  </si>
  <si>
    <t>rtaylor632</t>
  </si>
  <si>
    <t>kjackson633</t>
  </si>
  <si>
    <t>zmartin634</t>
  </si>
  <si>
    <t>omartinez635</t>
  </si>
  <si>
    <t>llewis636</t>
  </si>
  <si>
    <t>fallen637</t>
  </si>
  <si>
    <t>hwright638</t>
  </si>
  <si>
    <t>nbaker639</t>
  </si>
  <si>
    <t>lcarter640</t>
  </si>
  <si>
    <t>gpatel641</t>
  </si>
  <si>
    <t>csharma642</t>
  </si>
  <si>
    <t>jcampbell643</t>
  </si>
  <si>
    <t>mbrooks644</t>
  </si>
  <si>
    <t>dbrown645</t>
  </si>
  <si>
    <t>hthomas646</t>
  </si>
  <si>
    <t>vharris647</t>
  </si>
  <si>
    <t>rgarcia648</t>
  </si>
  <si>
    <t>aclark649</t>
  </si>
  <si>
    <t>ahall650</t>
  </si>
  <si>
    <t>lking651</t>
  </si>
  <si>
    <t>ngreen652</t>
  </si>
  <si>
    <t>enelson653</t>
  </si>
  <si>
    <t>operez654</t>
  </si>
  <si>
    <t>ekhan655</t>
  </si>
  <si>
    <t>srivera656</t>
  </si>
  <si>
    <t>mreed657</t>
  </si>
  <si>
    <t>ijohnson658</t>
  </si>
  <si>
    <t>landerson659</t>
  </si>
  <si>
    <t>mwhite660</t>
  </si>
  <si>
    <t>athompson661</t>
  </si>
  <si>
    <t>hrobinson662</t>
  </si>
  <si>
    <t>ewalker663</t>
  </si>
  <si>
    <t>jyoung664</t>
  </si>
  <si>
    <t>cscott665</t>
  </si>
  <si>
    <t>badams666</t>
  </si>
  <si>
    <t>emitchell667</t>
  </si>
  <si>
    <t>asingh668</t>
  </si>
  <si>
    <t>hali669</t>
  </si>
  <si>
    <t>amurphy670</t>
  </si>
  <si>
    <t>ssmith671</t>
  </si>
  <si>
    <t>etaylor672</t>
  </si>
  <si>
    <t>mjackson673</t>
  </si>
  <si>
    <t>dmartin674</t>
  </si>
  <si>
    <t>smartinez675</t>
  </si>
  <si>
    <t>llewis676</t>
  </si>
  <si>
    <t>mallen677</t>
  </si>
  <si>
    <t>nwright678</t>
  </si>
  <si>
    <t>pbaker679</t>
  </si>
  <si>
    <t>acarter680</t>
  </si>
  <si>
    <t>spatel681</t>
  </si>
  <si>
    <t>rsharma682</t>
  </si>
  <si>
    <t>kcampbell683</t>
  </si>
  <si>
    <t>zbrooks684</t>
  </si>
  <si>
    <t>obrown685</t>
  </si>
  <si>
    <t>lthomas686</t>
  </si>
  <si>
    <t>fharris687</t>
  </si>
  <si>
    <t>hgarcia688</t>
  </si>
  <si>
    <t>nclark689</t>
  </si>
  <si>
    <t>lhall690</t>
  </si>
  <si>
    <t>gking691</t>
  </si>
  <si>
    <t>cgreen692</t>
  </si>
  <si>
    <t>jnelson693</t>
  </si>
  <si>
    <t>mperez694</t>
  </si>
  <si>
    <t>dkhan695</t>
  </si>
  <si>
    <t>hrivera696</t>
  </si>
  <si>
    <t>vreed697</t>
  </si>
  <si>
    <t>rjohnson698</t>
  </si>
  <si>
    <t>aanderson699</t>
  </si>
  <si>
    <t>SA</t>
  </si>
  <si>
    <t>MM</t>
  </si>
  <si>
    <t>IS</t>
  </si>
  <si>
    <t>LA</t>
  </si>
  <si>
    <t>AS</t>
  </si>
  <si>
    <t>HT</t>
  </si>
  <si>
    <t>EJ</t>
  </si>
  <si>
    <t>JM</t>
  </si>
  <si>
    <t>CM</t>
  </si>
  <si>
    <t>BL</t>
  </si>
  <si>
    <t>EA</t>
  </si>
  <si>
    <t>HB</t>
  </si>
  <si>
    <t>AC</t>
  </si>
  <si>
    <t>SP</t>
  </si>
  <si>
    <t>MC</t>
  </si>
  <si>
    <t>DB</t>
  </si>
  <si>
    <t>SB</t>
  </si>
  <si>
    <t>MH</t>
  </si>
  <si>
    <t>NG</t>
  </si>
  <si>
    <t>PC</t>
  </si>
  <si>
    <t>AH</t>
  </si>
  <si>
    <t>SK</t>
  </si>
  <si>
    <t>RG</t>
  </si>
  <si>
    <t>KN</t>
  </si>
  <si>
    <t>ZP</t>
  </si>
  <si>
    <t>OK</t>
  </si>
  <si>
    <t>LR</t>
  </si>
  <si>
    <t>FR</t>
  </si>
  <si>
    <t>HJ</t>
  </si>
  <si>
    <t>NA</t>
  </si>
  <si>
    <t>LW</t>
  </si>
  <si>
    <t>GT</t>
  </si>
  <si>
    <t>CR</t>
  </si>
  <si>
    <t>JW</t>
  </si>
  <si>
    <t>MY</t>
  </si>
  <si>
    <t>DS</t>
  </si>
  <si>
    <t>HA</t>
  </si>
  <si>
    <t>VM</t>
  </si>
  <si>
    <t>RS</t>
  </si>
  <si>
    <t>AA</t>
  </si>
  <si>
    <t>AM</t>
  </si>
  <si>
    <t>LS</t>
  </si>
  <si>
    <t>NT</t>
  </si>
  <si>
    <t>OM</t>
  </si>
  <si>
    <t>EM</t>
  </si>
  <si>
    <t>SL</t>
  </si>
  <si>
    <t>IW</t>
  </si>
  <si>
    <t>LB</t>
  </si>
  <si>
    <t>AP</t>
  </si>
  <si>
    <t>HS</t>
  </si>
  <si>
    <t>EC</t>
  </si>
  <si>
    <t>JB</t>
  </si>
  <si>
    <t>CB</t>
  </si>
  <si>
    <t>BT</t>
  </si>
  <si>
    <t>EH</t>
  </si>
  <si>
    <t>AG</t>
  </si>
  <si>
    <t>HC</t>
  </si>
  <si>
    <t>EG</t>
  </si>
  <si>
    <t>DP</t>
  </si>
  <si>
    <t>MR</t>
  </si>
  <si>
    <t>NJ</t>
  </si>
  <si>
    <t>PA</t>
  </si>
  <si>
    <t>ST</t>
  </si>
  <si>
    <t>RR</t>
  </si>
  <si>
    <t>KW</t>
  </si>
  <si>
    <t>ZY</t>
  </si>
  <si>
    <t>OS</t>
  </si>
  <si>
    <t>FM</t>
  </si>
  <si>
    <t>LM</t>
  </si>
  <si>
    <t>GS</t>
  </si>
  <si>
    <t>CT</t>
  </si>
  <si>
    <t>JJ</t>
  </si>
  <si>
    <t>DM</t>
  </si>
  <si>
    <t>HL</t>
  </si>
  <si>
    <t>VA</t>
  </si>
  <si>
    <t>RW</t>
  </si>
  <si>
    <t>AB</t>
  </si>
  <si>
    <t>LP</t>
  </si>
  <si>
    <t>NS</t>
  </si>
  <si>
    <t>OB</t>
  </si>
  <si>
    <t>EB</t>
  </si>
  <si>
    <t>IG</t>
  </si>
  <si>
    <t>LC</t>
  </si>
  <si>
    <t>AK</t>
  </si>
  <si>
    <t>HG</t>
  </si>
  <si>
    <t>EN</t>
  </si>
  <si>
    <t>JP</t>
  </si>
  <si>
    <t>CK</t>
  </si>
  <si>
    <t>BR</t>
  </si>
  <si>
    <t>ER</t>
  </si>
  <si>
    <t>AJ</t>
  </si>
  <si>
    <t>MW</t>
  </si>
  <si>
    <t>DY</t>
  </si>
  <si>
    <t>SS</t>
  </si>
  <si>
    <t>RT</t>
  </si>
  <si>
    <t>KJ</t>
  </si>
  <si>
    <t>ZM</t>
  </si>
  <si>
    <t>LL</t>
  </si>
  <si>
    <t>FA</t>
  </si>
  <si>
    <t>HW</t>
  </si>
  <si>
    <t>NB</t>
  </si>
  <si>
    <t>GP</t>
  </si>
  <si>
    <t>CS</t>
  </si>
  <si>
    <t>JC</t>
  </si>
  <si>
    <t>MB</t>
  </si>
  <si>
    <t>VH</t>
  </si>
  <si>
    <t>LK</t>
  </si>
  <si>
    <t>OP</t>
  </si>
  <si>
    <t>EK</t>
  </si>
  <si>
    <t>SR</t>
  </si>
  <si>
    <t>IJ</t>
  </si>
  <si>
    <t>AT</t>
  </si>
  <si>
    <t>HR</t>
  </si>
  <si>
    <t>JY</t>
  </si>
  <si>
    <t>BA</t>
  </si>
  <si>
    <t>ET</t>
  </si>
  <si>
    <t>MJ</t>
  </si>
  <si>
    <t>SM</t>
  </si>
  <si>
    <t>NW</t>
  </si>
  <si>
    <t>PB</t>
  </si>
  <si>
    <t>KC</t>
  </si>
  <si>
    <t>ZB</t>
  </si>
  <si>
    <t>FH</t>
  </si>
  <si>
    <t>LH</t>
  </si>
  <si>
    <t>GK</t>
  </si>
  <si>
    <t>CG</t>
  </si>
  <si>
    <t>JN</t>
  </si>
  <si>
    <t>MP</t>
  </si>
  <si>
    <t>DK</t>
  </si>
  <si>
    <t>VR</t>
  </si>
  <si>
    <t>RJ</t>
  </si>
  <si>
    <t>2421661078</t>
  </si>
  <si>
    <t>2491771091</t>
  </si>
  <si>
    <t>2561881104</t>
  </si>
  <si>
    <t>2631991117</t>
  </si>
  <si>
    <t>2702101130</t>
  </si>
  <si>
    <t>2772211143</t>
  </si>
  <si>
    <t>2842321156</t>
  </si>
  <si>
    <t>2912431169</t>
  </si>
  <si>
    <t>2982541182</t>
  </si>
  <si>
    <t>3052651195</t>
  </si>
  <si>
    <t>3122761208</t>
  </si>
  <si>
    <t>3192871221</t>
  </si>
  <si>
    <t>3262981234</t>
  </si>
  <si>
    <t>3333091247</t>
  </si>
  <si>
    <t>3403201260</t>
  </si>
  <si>
    <t>3473311273</t>
  </si>
  <si>
    <t>3543421286</t>
  </si>
  <si>
    <t>3613531299</t>
  </si>
  <si>
    <t>3683641312</t>
  </si>
  <si>
    <t>3753751325</t>
  </si>
  <si>
    <t>3823861338</t>
  </si>
  <si>
    <t>3893971351</t>
  </si>
  <si>
    <t>3964081364</t>
  </si>
  <si>
    <t>4034191377</t>
  </si>
  <si>
    <t>4104301390</t>
  </si>
  <si>
    <t>4174411403</t>
  </si>
  <si>
    <t>4244521416</t>
  </si>
  <si>
    <t>4314631429</t>
  </si>
  <si>
    <t>4384741442</t>
  </si>
  <si>
    <t>4454851455</t>
  </si>
  <si>
    <t>4524961468</t>
  </si>
  <si>
    <t>4595071481</t>
  </si>
  <si>
    <t>4665181494</t>
  </si>
  <si>
    <t>4735291507</t>
  </si>
  <si>
    <t>4805401520</t>
  </si>
  <si>
    <t>4875511533</t>
  </si>
  <si>
    <t>4945621546</t>
  </si>
  <si>
    <t>5015731559</t>
  </si>
  <si>
    <t>5085841572</t>
  </si>
  <si>
    <t>5155951585</t>
  </si>
  <si>
    <t>5226061598</t>
  </si>
  <si>
    <t>5296171611</t>
  </si>
  <si>
    <t>5366281624</t>
  </si>
  <si>
    <t>5436391637</t>
  </si>
  <si>
    <t>5506501650</t>
  </si>
  <si>
    <t>5576611663</t>
  </si>
  <si>
    <t>5646721676</t>
  </si>
  <si>
    <t>5716831689</t>
  </si>
  <si>
    <t>5786941702</t>
  </si>
  <si>
    <t>5857051715</t>
  </si>
  <si>
    <t>5927161728</t>
  </si>
  <si>
    <t>5997271741</t>
  </si>
  <si>
    <t>6067381754</t>
  </si>
  <si>
    <t>6137491767</t>
  </si>
  <si>
    <t>6207601780</t>
  </si>
  <si>
    <t>6277711793</t>
  </si>
  <si>
    <t>6347821806</t>
  </si>
  <si>
    <t>6417931819</t>
  </si>
  <si>
    <t>6488041832</t>
  </si>
  <si>
    <t>6558151845</t>
  </si>
  <si>
    <t>6628261858</t>
  </si>
  <si>
    <t>6698371871</t>
  </si>
  <si>
    <t>6768481884</t>
  </si>
  <si>
    <t>6838591897</t>
  </si>
  <si>
    <t>6908701910</t>
  </si>
  <si>
    <t>6978811923</t>
  </si>
  <si>
    <t>7048921936</t>
  </si>
  <si>
    <t>7119031949</t>
  </si>
  <si>
    <t>7189141962</t>
  </si>
  <si>
    <t>7259251975</t>
  </si>
  <si>
    <t>7329361988</t>
  </si>
  <si>
    <t>7399472001</t>
  </si>
  <si>
    <t>7469582014</t>
  </si>
  <si>
    <t>7539692027</t>
  </si>
  <si>
    <t>7609802040</t>
  </si>
  <si>
    <t>7679912053</t>
  </si>
  <si>
    <t>7741022066</t>
  </si>
  <si>
    <t>7811132079</t>
  </si>
  <si>
    <t>7881242092</t>
  </si>
  <si>
    <t>7951352105</t>
  </si>
  <si>
    <t>8021462118</t>
  </si>
  <si>
    <t>8091572131</t>
  </si>
  <si>
    <t>8161682144</t>
  </si>
  <si>
    <t>8231792157</t>
  </si>
  <si>
    <t>8301902170</t>
  </si>
  <si>
    <t>8372012183</t>
  </si>
  <si>
    <t>8442122196</t>
  </si>
  <si>
    <t>8512232209</t>
  </si>
  <si>
    <t>8582342222</t>
  </si>
  <si>
    <t>8652452235</t>
  </si>
  <si>
    <t>8722562248</t>
  </si>
  <si>
    <t>8792672261</t>
  </si>
  <si>
    <t>8862782274</t>
  </si>
  <si>
    <t>8932892287</t>
  </si>
  <si>
    <t>2003002300</t>
  </si>
  <si>
    <t>2073112313</t>
  </si>
  <si>
    <t>2143222326</t>
  </si>
  <si>
    <t>2213332339</t>
  </si>
  <si>
    <t>2283442352</t>
  </si>
  <si>
    <t>2353552365</t>
  </si>
  <si>
    <t>2423662378</t>
  </si>
  <si>
    <t>2493772391</t>
  </si>
  <si>
    <t>2563882404</t>
  </si>
  <si>
    <t>2633992417</t>
  </si>
  <si>
    <t>2704102430</t>
  </si>
  <si>
    <t>2774212443</t>
  </si>
  <si>
    <t>2844322456</t>
  </si>
  <si>
    <t>2914432469</t>
  </si>
  <si>
    <t>2984542482</t>
  </si>
  <si>
    <t>3054652495</t>
  </si>
  <si>
    <t>3124762508</t>
  </si>
  <si>
    <t>3194872521</t>
  </si>
  <si>
    <t>3264982534</t>
  </si>
  <si>
    <t>3335092547</t>
  </si>
  <si>
    <t>3405202560</t>
  </si>
  <si>
    <t>3475312573</t>
  </si>
  <si>
    <t>3545422586</t>
  </si>
  <si>
    <t>3615532599</t>
  </si>
  <si>
    <t>3685642612</t>
  </si>
  <si>
    <t>3755752625</t>
  </si>
  <si>
    <t>3825862638</t>
  </si>
  <si>
    <t>3895972651</t>
  </si>
  <si>
    <t>3966082664</t>
  </si>
  <si>
    <t>4036192677</t>
  </si>
  <si>
    <t>4106302690</t>
  </si>
  <si>
    <t>4176412703</t>
  </si>
  <si>
    <t>4246522716</t>
  </si>
  <si>
    <t>4316632729</t>
  </si>
  <si>
    <t>4386742742</t>
  </si>
  <si>
    <t>4456852755</t>
  </si>
  <si>
    <t>4526962768</t>
  </si>
  <si>
    <t>4597072781</t>
  </si>
  <si>
    <t>4667182794</t>
  </si>
  <si>
    <t>4737292807</t>
  </si>
  <si>
    <t>4807402820</t>
  </si>
  <si>
    <t>4877512833</t>
  </si>
  <si>
    <t>4947622846</t>
  </si>
  <si>
    <t>5017732859</t>
  </si>
  <si>
    <t>5087842872</t>
  </si>
  <si>
    <t>5157952885</t>
  </si>
  <si>
    <t>5228062898</t>
  </si>
  <si>
    <t>5298172911</t>
  </si>
  <si>
    <t>5368282924</t>
  </si>
  <si>
    <t>5438392937</t>
  </si>
  <si>
    <t>5508502950</t>
  </si>
  <si>
    <t>5578612963</t>
  </si>
  <si>
    <t>5648722976</t>
  </si>
  <si>
    <t>5718832989</t>
  </si>
  <si>
    <t>5788943002</t>
  </si>
  <si>
    <t>5859053015</t>
  </si>
  <si>
    <t>5929163028</t>
  </si>
  <si>
    <t>5999273041</t>
  </si>
  <si>
    <t>6069383054</t>
  </si>
  <si>
    <t>6139493067</t>
  </si>
  <si>
    <t>6209603080</t>
  </si>
  <si>
    <t>6279713093</t>
  </si>
  <si>
    <t>6349823106</t>
  </si>
  <si>
    <t>6419933119</t>
  </si>
  <si>
    <t>6481043132</t>
  </si>
  <si>
    <t>6551153145</t>
  </si>
  <si>
    <t>6621263158</t>
  </si>
  <si>
    <t>6691373171</t>
  </si>
  <si>
    <t>6761483184</t>
  </si>
  <si>
    <t>6831593197</t>
  </si>
  <si>
    <t>6901703210</t>
  </si>
  <si>
    <t>6971813223</t>
  </si>
  <si>
    <t>7041923236</t>
  </si>
  <si>
    <t>7112033249</t>
  </si>
  <si>
    <t>7182143262</t>
  </si>
  <si>
    <t>7252253275</t>
  </si>
  <si>
    <t>7322363288</t>
  </si>
  <si>
    <t>7392473301</t>
  </si>
  <si>
    <t>7462583314</t>
  </si>
  <si>
    <t>7532693327</t>
  </si>
  <si>
    <t>7602803340</t>
  </si>
  <si>
    <t>7672913353</t>
  </si>
  <si>
    <t>7743023366</t>
  </si>
  <si>
    <t>7813133379</t>
  </si>
  <si>
    <t>7883243392</t>
  </si>
  <si>
    <t>7953353405</t>
  </si>
  <si>
    <t>8023463418</t>
  </si>
  <si>
    <t>8093573431</t>
  </si>
  <si>
    <t>8163683444</t>
  </si>
  <si>
    <t>8233793457</t>
  </si>
  <si>
    <t>8303903470</t>
  </si>
  <si>
    <t>8374013483</t>
  </si>
  <si>
    <t>8444123496</t>
  </si>
  <si>
    <t>8514233509</t>
  </si>
  <si>
    <t>8584343522</t>
  </si>
  <si>
    <t>8654453535</t>
  </si>
  <si>
    <t>8724563548</t>
  </si>
  <si>
    <t>8794673561</t>
  </si>
  <si>
    <t>8864783574</t>
  </si>
  <si>
    <t>8934893587</t>
  </si>
  <si>
    <t>2005003600</t>
  </si>
  <si>
    <t>2075113613</t>
  </si>
  <si>
    <t>2145223626</t>
  </si>
  <si>
    <t>2215333639</t>
  </si>
  <si>
    <t>2285443652</t>
  </si>
  <si>
    <t>2355553665</t>
  </si>
  <si>
    <t>2425663678</t>
  </si>
  <si>
    <t>2495773691</t>
  </si>
  <si>
    <t>2565883704</t>
  </si>
  <si>
    <t>2635993717</t>
  </si>
  <si>
    <t>2706103730</t>
  </si>
  <si>
    <t>2776213743</t>
  </si>
  <si>
    <t>2846323756</t>
  </si>
  <si>
    <t>2916433769</t>
  </si>
  <si>
    <t>2986543782</t>
  </si>
  <si>
    <t>3056653795</t>
  </si>
  <si>
    <t>3126763808</t>
  </si>
  <si>
    <t>3196873821</t>
  </si>
  <si>
    <t>3266983834</t>
  </si>
  <si>
    <t>3337093847</t>
  </si>
  <si>
    <t>3407203860</t>
  </si>
  <si>
    <t>3477313873</t>
  </si>
  <si>
    <t>3547423886</t>
  </si>
  <si>
    <t>3617533899</t>
  </si>
  <si>
    <t>3687643912</t>
  </si>
  <si>
    <t>3757753925</t>
  </si>
  <si>
    <t>3827863938</t>
  </si>
  <si>
    <t>3897973951</t>
  </si>
  <si>
    <t>3968083964</t>
  </si>
  <si>
    <t>4038193977</t>
  </si>
  <si>
    <t>4108303990</t>
  </si>
  <si>
    <t>4178414003</t>
  </si>
  <si>
    <t>4248524016</t>
  </si>
  <si>
    <t>4318634029</t>
  </si>
  <si>
    <t>4388744042</t>
  </si>
  <si>
    <t>4458854055</t>
  </si>
  <si>
    <t>4528964068</t>
  </si>
  <si>
    <t>4599074081</t>
  </si>
  <si>
    <t>4669184094</t>
  </si>
  <si>
    <t>4739294107</t>
  </si>
  <si>
    <t>4809404120</t>
  </si>
  <si>
    <t>4879514133</t>
  </si>
  <si>
    <t>4949624146</t>
  </si>
  <si>
    <t>5019734159</t>
  </si>
  <si>
    <t>5089844172</t>
  </si>
  <si>
    <t>5159954185</t>
  </si>
  <si>
    <t>5221064198</t>
  </si>
  <si>
    <t>5291174211</t>
  </si>
  <si>
    <t>5361284224</t>
  </si>
  <si>
    <t>5431394237</t>
  </si>
  <si>
    <t>5501504250</t>
  </si>
  <si>
    <t>5571614263</t>
  </si>
  <si>
    <t>5641724276</t>
  </si>
  <si>
    <t>5711834289</t>
  </si>
  <si>
    <t>5781944302</t>
  </si>
  <si>
    <t>5852054315</t>
  </si>
  <si>
    <t>5922164328</t>
  </si>
  <si>
    <t>5992274341</t>
  </si>
  <si>
    <t>6062384354</t>
  </si>
  <si>
    <t>6132494367</t>
  </si>
  <si>
    <t>6202604380</t>
  </si>
  <si>
    <t>6272714393</t>
  </si>
  <si>
    <t>6342824406</t>
  </si>
  <si>
    <t>6412934419</t>
  </si>
  <si>
    <t>6483044432</t>
  </si>
  <si>
    <t>6553154445</t>
  </si>
  <si>
    <t>6623264458</t>
  </si>
  <si>
    <t>6693374471</t>
  </si>
  <si>
    <t>6763484484</t>
  </si>
  <si>
    <t>6833594497</t>
  </si>
  <si>
    <t>6903704510</t>
  </si>
  <si>
    <t>6973814523</t>
  </si>
  <si>
    <t>7043924536</t>
  </si>
  <si>
    <t>7114034549</t>
  </si>
  <si>
    <t>7184144562</t>
  </si>
  <si>
    <t>7254254575</t>
  </si>
  <si>
    <t>7324364588</t>
  </si>
  <si>
    <t>7394474601</t>
  </si>
  <si>
    <t>7464584614</t>
  </si>
  <si>
    <t>7534694627</t>
  </si>
  <si>
    <t>7604804640</t>
  </si>
  <si>
    <t>7674914653</t>
  </si>
  <si>
    <t>7745024666</t>
  </si>
  <si>
    <t>7815134679</t>
  </si>
  <si>
    <t>7885244692</t>
  </si>
  <si>
    <t>7955354705</t>
  </si>
  <si>
    <t>8025464718</t>
  </si>
  <si>
    <t>8095574731</t>
  </si>
  <si>
    <t>8165684744</t>
  </si>
  <si>
    <t>8235794757</t>
  </si>
  <si>
    <t>8305904770</t>
  </si>
  <si>
    <t>8376014783</t>
  </si>
  <si>
    <t>8446124796</t>
  </si>
  <si>
    <t>8516234809</t>
  </si>
  <si>
    <t>8586344822</t>
  </si>
  <si>
    <t>8656454835</t>
  </si>
  <si>
    <t>8726564848</t>
  </si>
  <si>
    <t>8796674861</t>
  </si>
  <si>
    <t>8866784874</t>
  </si>
  <si>
    <t>8936894887</t>
  </si>
  <si>
    <t>2007004900</t>
  </si>
  <si>
    <t>2077114913</t>
  </si>
  <si>
    <t>2147224926</t>
  </si>
  <si>
    <t>2217334939</t>
  </si>
  <si>
    <t>2287444952</t>
  </si>
  <si>
    <t>2357554965</t>
  </si>
  <si>
    <t>2427664978</t>
  </si>
  <si>
    <t>2497774991</t>
  </si>
  <si>
    <t>2567885004</t>
  </si>
  <si>
    <t>2637995017</t>
  </si>
  <si>
    <t>2708105030</t>
  </si>
  <si>
    <t>2778215043</t>
  </si>
  <si>
    <t>2848325056</t>
  </si>
  <si>
    <t>2918435069</t>
  </si>
  <si>
    <t>2988545082</t>
  </si>
  <si>
    <t>3058655095</t>
  </si>
  <si>
    <t>3128765108</t>
  </si>
  <si>
    <t>3198875121</t>
  </si>
  <si>
    <t>3268985134</t>
  </si>
  <si>
    <t>3339095147</t>
  </si>
  <si>
    <t>3409205160</t>
  </si>
  <si>
    <t>3479315173</t>
  </si>
  <si>
    <t>3549425186</t>
  </si>
  <si>
    <t>3619535199</t>
  </si>
  <si>
    <t>3689645212</t>
  </si>
  <si>
    <t>3759755225</t>
  </si>
  <si>
    <t>3829865238</t>
  </si>
  <si>
    <t>3899975251</t>
  </si>
  <si>
    <t>3961085264</t>
  </si>
  <si>
    <t>4031195277</t>
  </si>
  <si>
    <t>4101305290</t>
  </si>
  <si>
    <t>4171415303</t>
  </si>
  <si>
    <t>4241525316</t>
  </si>
  <si>
    <t>4311635329</t>
  </si>
  <si>
    <t>4381745342</t>
  </si>
  <si>
    <t>4451855355</t>
  </si>
  <si>
    <t>4521965368</t>
  </si>
  <si>
    <t>4592075381</t>
  </si>
  <si>
    <t>4662185394</t>
  </si>
  <si>
    <t>4732295407</t>
  </si>
  <si>
    <t>4802405420</t>
  </si>
  <si>
    <t>4872515433</t>
  </si>
  <si>
    <t>4942625446</t>
  </si>
  <si>
    <t>5012735459</t>
  </si>
  <si>
    <t>5082845472</t>
  </si>
  <si>
    <t>5152955485</t>
  </si>
  <si>
    <t>5223065498</t>
  </si>
  <si>
    <t>5293175511</t>
  </si>
  <si>
    <t>5363285524</t>
  </si>
  <si>
    <t>5433395537</t>
  </si>
  <si>
    <t>5503505550</t>
  </si>
  <si>
    <t>5573615563</t>
  </si>
  <si>
    <t>5643725576</t>
  </si>
  <si>
    <t>5713835589</t>
  </si>
  <si>
    <t>5783945602</t>
  </si>
  <si>
    <t>5854055615</t>
  </si>
  <si>
    <t>5924165628</t>
  </si>
  <si>
    <t>5994275641</t>
  </si>
  <si>
    <t>6064385654</t>
  </si>
  <si>
    <t>6134495667</t>
  </si>
  <si>
    <t>6204605680</t>
  </si>
  <si>
    <t>6274715693</t>
  </si>
  <si>
    <t>6344825706</t>
  </si>
  <si>
    <t>6414935719</t>
  </si>
  <si>
    <t>6485045732</t>
  </si>
  <si>
    <t>6555155745</t>
  </si>
  <si>
    <t>6625265758</t>
  </si>
  <si>
    <t>6695375771</t>
  </si>
  <si>
    <t>6765485784</t>
  </si>
  <si>
    <t>6835595797</t>
  </si>
  <si>
    <t>6905705810</t>
  </si>
  <si>
    <t>6975815823</t>
  </si>
  <si>
    <t>7045925836</t>
  </si>
  <si>
    <t>7116035849</t>
  </si>
  <si>
    <t>7186145862</t>
  </si>
  <si>
    <t>7256255875</t>
  </si>
  <si>
    <t>7326365888</t>
  </si>
  <si>
    <t>7396475901</t>
  </si>
  <si>
    <t>7466585914</t>
  </si>
  <si>
    <t>7536695927</t>
  </si>
  <si>
    <t>7606805940</t>
  </si>
  <si>
    <t>7676915953</t>
  </si>
  <si>
    <t>7747025966</t>
  </si>
  <si>
    <t>7817135979</t>
  </si>
  <si>
    <t>7887245992</t>
  </si>
  <si>
    <t>7957356005</t>
  </si>
  <si>
    <t>8027466018</t>
  </si>
  <si>
    <t>8097576031</t>
  </si>
  <si>
    <t>8167686044</t>
  </si>
  <si>
    <t>8237796057</t>
  </si>
  <si>
    <t>8307906070</t>
  </si>
  <si>
    <t>8378016083</t>
  </si>
  <si>
    <t>8448126096</t>
  </si>
  <si>
    <t>8518236109</t>
  </si>
  <si>
    <t>8588346122</t>
  </si>
  <si>
    <t>8658456135</t>
  </si>
  <si>
    <t>8728566148</t>
  </si>
  <si>
    <t>8798676161</t>
  </si>
  <si>
    <t>8868786174</t>
  </si>
  <si>
    <t>8938896187</t>
  </si>
  <si>
    <t>2009006200</t>
  </si>
  <si>
    <t>2079116213</t>
  </si>
  <si>
    <t>2149226226</t>
  </si>
  <si>
    <t>2219336239</t>
  </si>
  <si>
    <t>2289446252</t>
  </si>
  <si>
    <t>2359556265</t>
  </si>
  <si>
    <t>2429666278</t>
  </si>
  <si>
    <t>2499776291</t>
  </si>
  <si>
    <t>2569886304</t>
  </si>
  <si>
    <t>2639996317</t>
  </si>
  <si>
    <t>2701106330</t>
  </si>
  <si>
    <t>2771216343</t>
  </si>
  <si>
    <t>2841326356</t>
  </si>
  <si>
    <t>2911436369</t>
  </si>
  <si>
    <t>2981546382</t>
  </si>
  <si>
    <t>3051656395</t>
  </si>
  <si>
    <t>3121766408</t>
  </si>
  <si>
    <t>3191876421</t>
  </si>
  <si>
    <t>3261986434</t>
  </si>
  <si>
    <t>3332096447</t>
  </si>
  <si>
    <t>3402206460</t>
  </si>
  <si>
    <t>3472316473</t>
  </si>
  <si>
    <t>3542426486</t>
  </si>
  <si>
    <t>3612536499</t>
  </si>
  <si>
    <t>3682646512</t>
  </si>
  <si>
    <t>3752756525</t>
  </si>
  <si>
    <t>3822866538</t>
  </si>
  <si>
    <t>3892976551</t>
  </si>
  <si>
    <t>3963086564</t>
  </si>
  <si>
    <t>4033196577</t>
  </si>
  <si>
    <t>4103306590</t>
  </si>
  <si>
    <t>4173416603</t>
  </si>
  <si>
    <t>4243526616</t>
  </si>
  <si>
    <t>4313636629</t>
  </si>
  <si>
    <t>4383746642</t>
  </si>
  <si>
    <t>4453856655</t>
  </si>
  <si>
    <t>4523966668</t>
  </si>
  <si>
    <t>4594076681</t>
  </si>
  <si>
    <t>4664186694</t>
  </si>
  <si>
    <t>4734296707</t>
  </si>
  <si>
    <t>4804406720</t>
  </si>
  <si>
    <t>4874516733</t>
  </si>
  <si>
    <t>4944626746</t>
  </si>
  <si>
    <t>5014736759</t>
  </si>
  <si>
    <t>5084846772</t>
  </si>
  <si>
    <t>5154956785</t>
  </si>
  <si>
    <t>5225066798</t>
  </si>
  <si>
    <t>5295176811</t>
  </si>
  <si>
    <t>5365286824</t>
  </si>
  <si>
    <t>5435396837</t>
  </si>
  <si>
    <t>5505506850</t>
  </si>
  <si>
    <t>5575616863</t>
  </si>
  <si>
    <t>5645726876</t>
  </si>
  <si>
    <t>5715836889</t>
  </si>
  <si>
    <t>5785946902</t>
  </si>
  <si>
    <t>5856056915</t>
  </si>
  <si>
    <t>5926166928</t>
  </si>
  <si>
    <t>5996276941</t>
  </si>
  <si>
    <t>6066386954</t>
  </si>
  <si>
    <t>6136496967</t>
  </si>
  <si>
    <t>6206606980</t>
  </si>
  <si>
    <t>6276716993</t>
  </si>
  <si>
    <t>6346827006</t>
  </si>
  <si>
    <t>6416937019</t>
  </si>
  <si>
    <t>6487047032</t>
  </si>
  <si>
    <t>6557157045</t>
  </si>
  <si>
    <t>6627267058</t>
  </si>
  <si>
    <t>6697377071</t>
  </si>
  <si>
    <t>6767487084</t>
  </si>
  <si>
    <t>6837597097</t>
  </si>
  <si>
    <t>6907707110</t>
  </si>
  <si>
    <t>6977817123</t>
  </si>
  <si>
    <t>7047927136</t>
  </si>
  <si>
    <t>7118037149</t>
  </si>
  <si>
    <t>7188147162</t>
  </si>
  <si>
    <t>7258257175</t>
  </si>
  <si>
    <t>7328367188</t>
  </si>
  <si>
    <t>7398477201</t>
  </si>
  <si>
    <t>7468587214</t>
  </si>
  <si>
    <t>7538697227</t>
  </si>
  <si>
    <t>7608807240</t>
  </si>
  <si>
    <t>7678917253</t>
  </si>
  <si>
    <t>7749027266</t>
  </si>
  <si>
    <t>7819137279</t>
  </si>
  <si>
    <t>7889247292</t>
  </si>
  <si>
    <t>7959357305</t>
  </si>
  <si>
    <t>8029467318</t>
  </si>
  <si>
    <t>8099577331</t>
  </si>
  <si>
    <t>8169687344</t>
  </si>
  <si>
    <t>8239797357</t>
  </si>
  <si>
    <t>8309907370</t>
  </si>
  <si>
    <t>8371017383</t>
  </si>
  <si>
    <t>8441127396</t>
  </si>
  <si>
    <t>8511237409</t>
  </si>
  <si>
    <t>8581347422</t>
  </si>
  <si>
    <t>8651457435</t>
  </si>
  <si>
    <t>8721567448</t>
  </si>
  <si>
    <t>8791677461</t>
  </si>
  <si>
    <t>8861787474</t>
  </si>
  <si>
    <t>8931897487</t>
  </si>
  <si>
    <t>2002007500</t>
  </si>
  <si>
    <t>2072117513</t>
  </si>
  <si>
    <t>2142227526</t>
  </si>
  <si>
    <t>2212337539</t>
  </si>
  <si>
    <t>2282447552</t>
  </si>
  <si>
    <t>2352557565</t>
  </si>
  <si>
    <t>2422667578</t>
  </si>
  <si>
    <t>2492777591</t>
  </si>
  <si>
    <t>2562887604</t>
  </si>
  <si>
    <t>2632997617</t>
  </si>
  <si>
    <t>2703107630</t>
  </si>
  <si>
    <t>2773217643</t>
  </si>
  <si>
    <t>2843327656</t>
  </si>
  <si>
    <t>2913437669</t>
  </si>
  <si>
    <t>2983547682</t>
  </si>
  <si>
    <t>3053657695</t>
  </si>
  <si>
    <t>3123767708</t>
  </si>
  <si>
    <t>3193877721</t>
  </si>
  <si>
    <t>3263987734</t>
  </si>
  <si>
    <t>3334097747</t>
  </si>
  <si>
    <t>3404207760</t>
  </si>
  <si>
    <t>3474317773</t>
  </si>
  <si>
    <t>3544427786</t>
  </si>
  <si>
    <t>3614537799</t>
  </si>
  <si>
    <t>3684647812</t>
  </si>
  <si>
    <t>3754757825</t>
  </si>
  <si>
    <t>3824867838</t>
  </si>
  <si>
    <t>3894977851</t>
  </si>
  <si>
    <t>3965087864</t>
  </si>
  <si>
    <t>4035197877</t>
  </si>
  <si>
    <t>4105307890</t>
  </si>
  <si>
    <t>4175417903</t>
  </si>
  <si>
    <t>4245527916</t>
  </si>
  <si>
    <t>4315637929</t>
  </si>
  <si>
    <t>4385747942</t>
  </si>
  <si>
    <t>4455857955</t>
  </si>
  <si>
    <t>4525967968</t>
  </si>
  <si>
    <t>4596077981</t>
  </si>
  <si>
    <t>4666187994</t>
  </si>
  <si>
    <t>4736298007</t>
  </si>
  <si>
    <t>4806408020</t>
  </si>
  <si>
    <t>4876518033</t>
  </si>
  <si>
    <t>4946628046</t>
  </si>
  <si>
    <t>5016738059</t>
  </si>
  <si>
    <t>5086848072</t>
  </si>
  <si>
    <t>5156958085</t>
  </si>
  <si>
    <t>5227068098</t>
  </si>
  <si>
    <t>5297178111</t>
  </si>
  <si>
    <t>5367288124</t>
  </si>
  <si>
    <t>5437398137</t>
  </si>
  <si>
    <t>5507508150</t>
  </si>
  <si>
    <t>5577618163</t>
  </si>
  <si>
    <t>5647728176</t>
  </si>
  <si>
    <t>5717838189</t>
  </si>
  <si>
    <t>5787948202</t>
  </si>
  <si>
    <t>5858058215</t>
  </si>
  <si>
    <t>5928168228</t>
  </si>
  <si>
    <t>5998278241</t>
  </si>
  <si>
    <t>6068388254</t>
  </si>
  <si>
    <t>6138498267</t>
  </si>
  <si>
    <t>6208608280</t>
  </si>
  <si>
    <t>6278718293</t>
  </si>
  <si>
    <t>6348828306</t>
  </si>
  <si>
    <t>6418938319</t>
  </si>
  <si>
    <t>6489048332</t>
  </si>
  <si>
    <t>6559158345</t>
  </si>
  <si>
    <t>6629268358</t>
  </si>
  <si>
    <t>6699378371</t>
  </si>
  <si>
    <t>6769488384</t>
  </si>
  <si>
    <t>6839598397</t>
  </si>
  <si>
    <t>6909708410</t>
  </si>
  <si>
    <t>6979818423</t>
  </si>
  <si>
    <t>7049928436</t>
  </si>
  <si>
    <t>7111038449</t>
  </si>
  <si>
    <t>7181148462</t>
  </si>
  <si>
    <t>7251258475</t>
  </si>
  <si>
    <t>7321368488</t>
  </si>
  <si>
    <t>7391478501</t>
  </si>
  <si>
    <t>7461588514</t>
  </si>
  <si>
    <t>7531698527</t>
  </si>
  <si>
    <t>7601808540</t>
  </si>
  <si>
    <t>7671918553</t>
  </si>
  <si>
    <t>7742028566</t>
  </si>
  <si>
    <t>7812138579</t>
  </si>
  <si>
    <t>7882248592</t>
  </si>
  <si>
    <t>7952358605</t>
  </si>
  <si>
    <t>8022468618</t>
  </si>
  <si>
    <t>8092578631</t>
  </si>
  <si>
    <t>8162688644</t>
  </si>
  <si>
    <t>8232798657</t>
  </si>
  <si>
    <t>8302908670</t>
  </si>
  <si>
    <t>8373018683</t>
  </si>
  <si>
    <t>8443128696</t>
  </si>
  <si>
    <t>8513238709</t>
  </si>
  <si>
    <t>8583348722</t>
  </si>
  <si>
    <t>8653458735</t>
  </si>
  <si>
    <t>8723568748</t>
  </si>
  <si>
    <t>8793678761</t>
  </si>
  <si>
    <t>8863788774</t>
  </si>
  <si>
    <t>8933898787</t>
  </si>
  <si>
    <t>nimbusenergy.com</t>
  </si>
  <si>
    <t>pioneerdesign.com</t>
  </si>
  <si>
    <t>urbannest.com</t>
  </si>
  <si>
    <t>evergreenfoods.com</t>
  </si>
  <si>
    <t>harborfitness.com</t>
  </si>
  <si>
    <t>summitworks.com</t>
  </si>
  <si>
    <t>silverlinetech.com</t>
  </si>
  <si>
    <t>auroralearning.com</t>
  </si>
  <si>
    <t>bluepeakretail.com</t>
  </si>
  <si>
    <t>brightpathhealth.com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</si>
</sst>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000000"/>
      <name val="Calibri"/>
    </font>
    <font>
      <i/>
      <sz val="11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0" fillId="4" borderId="0" xfId="0" applyFill="1" applyAlignment="1">
      <alignment vertical="center"/>
    </xf>
    <xf numFmtId="14" fontId="0" fillId="0" borderId="0" xfId="0" applyNumberFormat="1"/>
    <xf numFmtId="14" fontId="2" fillId="3" borderId="1" xfId="0" applyNumberFormat="1" applyFont="1" applyFill="1" applyBorder="1" applyAlignment="1">
      <alignment horizontal="center" vertical="center"/>
    </xf>
    <xf numFmtId="49" fontId="0" fillId="4" borderId="0" xfId="0" applyNumberForma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5" borderId="0" xfId="0" applyFont="1" applyFill="1" applyAlignment="1">
      <alignment vertical="center"/>
    </xf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D6DAC-002C-4D3D-9308-123E3B1A4D97}" name="Table1" displayName="Table1" ref="A3:O577" totalsRowShown="0" headerRowDxfId="8" headerRowBorderDxfId="7">
  <autoFilter ref="A3:O577" xr:uid="{00000000-0009-0000-0000-000002000000}"/>
  <tableColumns count="15">
    <tableColumn id="1" xr3:uid="{5AC697CF-70CA-470E-9A9C-38ECBD7A9A98}" name="Order_ID" dataDxfId="6"/>
    <tableColumn id="2" xr3:uid="{557D61F7-6D6E-4E4B-B314-9021437FB79B}" name="Product" dataDxfId="5"/>
    <tableColumn id="3" xr3:uid="{1482940B-4562-46D6-B2F2-7F2A95344157}" name="Color" dataDxfId="4"/>
    <tableColumn id="4" xr3:uid="{61BE4010-C9BF-4C9A-977F-804E21AA6B06}" name="Size" dataDxfId="3"/>
    <tableColumn id="5" xr3:uid="{904998D9-6015-416F-BE52-F0869EE3B66B}" name="Raw_SKU" dataDxfId="2"/>
    <tableColumn id="6" xr3:uid="{569196E6-7DEC-414C-A63E-D31BC2DB1FFB}" name="Customer_Name"/>
    <tableColumn id="7" xr3:uid="{C7010E82-99A7-4166-929D-2649C7B0F133}" name="Raw_Address"/>
    <tableColumn id="8" xr3:uid="{E15F2544-B1AC-457B-AE68-48E12ADDDE83}" name="Start_Date" dataDxfId="1"/>
    <tableColumn id="9" xr3:uid="{DA4486BD-12A3-487F-B0ED-6FB4B40D8DDE}" name="End_Date" dataDxfId="0"/>
    <tableColumn id="10" xr3:uid="{31431C92-71C8-4836-8ECE-62C066803B09}" name="SKU Short"/>
    <tableColumn id="11" xr3:uid="{1598B76B-D17B-4ACA-84E9-62B536F2B470}" name="Product Label"/>
    <tableColumn id="12" xr3:uid="{042F4F98-22C5-46E0-9D12-30DE825EA2C2}" name="First Name"/>
    <tableColumn id="13" xr3:uid="{EFB060BC-1A18-4D36-AF06-377F7CA54C12}" name="City-State"/>
    <tableColumn id="14" xr3:uid="{AD67FC18-0170-4E83-B5C4-C0CA32E5018C}" name="Quarter"/>
    <tableColumn id="15" xr3:uid="{1F33DBC7-8EA7-4AD4-81AB-020D003452BF}" name="Invoice Re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3"/>
  <sheetViews>
    <sheetView topLeftCell="C1" zoomScale="65" workbookViewId="0">
      <pane ySplit="3" topLeftCell="A4" activePane="bottomLeft" state="frozen"/>
      <selection pane="bottomLeft" activeCell="O10" sqref="O10"/>
    </sheetView>
  </sheetViews>
  <sheetFormatPr defaultRowHeight="14.5" x14ac:dyDescent="0.35"/>
  <cols>
    <col min="1" max="1" width="14" customWidth="1"/>
    <col min="2" max="2" width="16" customWidth="1"/>
    <col min="3" max="3" width="24" customWidth="1"/>
    <col min="4" max="4" width="15" customWidth="1"/>
    <col min="5" max="5" width="9" customWidth="1"/>
    <col min="6" max="6" width="34" customWidth="1"/>
    <col min="7" max="7" width="16" customWidth="1"/>
    <col min="8" max="8" width="14" customWidth="1"/>
    <col min="9" max="10" width="20" customWidth="1"/>
    <col min="11" max="11" width="16" customWidth="1"/>
    <col min="12" max="12" width="10" customWidth="1"/>
    <col min="13" max="13" width="16" customWidth="1"/>
    <col min="14" max="14" width="14" customWidth="1"/>
    <col min="15" max="15" width="24" customWidth="1"/>
  </cols>
  <sheetData>
    <row r="1" spans="1:15" ht="24" customHeight="1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35">
      <c r="A3" s="12" t="s">
        <v>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3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4">
        <v>31048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</row>
    <row r="5" spans="1:15" x14ac:dyDescent="0.3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4">
        <v>31477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  <c r="O5" s="5" t="s">
        <v>44</v>
      </c>
    </row>
    <row r="6" spans="1:15" x14ac:dyDescent="0.35">
      <c r="A6" s="3" t="s">
        <v>45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51</v>
      </c>
      <c r="H6" s="4">
        <v>31908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</row>
    <row r="7" spans="1:15" x14ac:dyDescent="0.35">
      <c r="A7" s="3" t="s">
        <v>59</v>
      </c>
      <c r="B7" s="3" t="s">
        <v>60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4">
        <v>32340</v>
      </c>
      <c r="I7" s="5" t="s">
        <v>66</v>
      </c>
      <c r="J7" s="5" t="s">
        <v>67</v>
      </c>
      <c r="K7" s="5" t="s">
        <v>68</v>
      </c>
      <c r="L7" s="5" t="s">
        <v>69</v>
      </c>
      <c r="M7" s="5" t="s">
        <v>70</v>
      </c>
      <c r="N7" s="5" t="s">
        <v>71</v>
      </c>
      <c r="O7" s="5" t="s">
        <v>72</v>
      </c>
    </row>
    <row r="8" spans="1:15" x14ac:dyDescent="0.35">
      <c r="A8" s="3" t="s">
        <v>73</v>
      </c>
      <c r="B8" s="3" t="s">
        <v>74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79</v>
      </c>
      <c r="H8" s="4">
        <v>32772</v>
      </c>
      <c r="I8" s="5" t="s">
        <v>80</v>
      </c>
      <c r="J8" s="5" t="s">
        <v>81</v>
      </c>
      <c r="K8" s="5" t="s">
        <v>82</v>
      </c>
      <c r="L8" s="5" t="s">
        <v>83</v>
      </c>
      <c r="M8" s="5" t="s">
        <v>84</v>
      </c>
      <c r="N8" s="5" t="s">
        <v>85</v>
      </c>
      <c r="O8" s="5" t="s">
        <v>86</v>
      </c>
    </row>
    <row r="9" spans="1:15" x14ac:dyDescent="0.35">
      <c r="A9" s="3" t="s">
        <v>87</v>
      </c>
      <c r="B9" s="3" t="s">
        <v>88</v>
      </c>
      <c r="C9" s="3" t="s">
        <v>89</v>
      </c>
      <c r="D9" s="3" t="s">
        <v>90</v>
      </c>
      <c r="E9" s="3" t="s">
        <v>91</v>
      </c>
      <c r="F9" s="3" t="s">
        <v>92</v>
      </c>
      <c r="G9" s="3" t="s">
        <v>93</v>
      </c>
      <c r="H9" s="4">
        <v>33203</v>
      </c>
      <c r="I9" s="5" t="s">
        <v>94</v>
      </c>
      <c r="J9" s="5" t="s">
        <v>95</v>
      </c>
      <c r="K9" s="5" t="s">
        <v>96</v>
      </c>
      <c r="L9" s="5" t="s">
        <v>97</v>
      </c>
      <c r="M9" s="5" t="s">
        <v>98</v>
      </c>
      <c r="N9" s="5" t="s">
        <v>99</v>
      </c>
      <c r="O9" s="5" t="s">
        <v>100</v>
      </c>
    </row>
    <row r="10" spans="1:15" x14ac:dyDescent="0.35">
      <c r="A10" s="3" t="s">
        <v>101</v>
      </c>
      <c r="B10" s="3" t="s">
        <v>102</v>
      </c>
      <c r="C10" s="3" t="s">
        <v>103</v>
      </c>
      <c r="D10" s="3" t="s">
        <v>104</v>
      </c>
      <c r="E10" s="3" t="s">
        <v>105</v>
      </c>
      <c r="F10" s="3" t="s">
        <v>106</v>
      </c>
      <c r="G10" s="3" t="s">
        <v>107</v>
      </c>
      <c r="H10" s="4">
        <v>33241</v>
      </c>
      <c r="I10" s="6" t="s">
        <v>2181</v>
      </c>
      <c r="J10" s="6" t="s">
        <v>2375</v>
      </c>
      <c r="K10" s="6" t="s">
        <v>2556</v>
      </c>
      <c r="L10" s="6" t="s">
        <v>3150</v>
      </c>
      <c r="M10" s="9" t="s">
        <v>3281</v>
      </c>
      <c r="N10" s="5" t="str">
        <f>TEXT(H10, "DD-MMM-YYY")</f>
        <v>03-Jan-1991</v>
      </c>
      <c r="O10" s="6" t="s">
        <v>3875</v>
      </c>
    </row>
    <row r="11" spans="1:15" x14ac:dyDescent="0.35">
      <c r="A11" s="3" t="s">
        <v>108</v>
      </c>
      <c r="B11" s="3" t="s">
        <v>109</v>
      </c>
      <c r="C11" s="3" t="s">
        <v>110</v>
      </c>
      <c r="D11" s="3" t="s">
        <v>111</v>
      </c>
      <c r="E11" s="3" t="s">
        <v>112</v>
      </c>
      <c r="F11" s="3" t="s">
        <v>113</v>
      </c>
      <c r="G11" s="3" t="s">
        <v>114</v>
      </c>
      <c r="H11" s="4">
        <v>33671</v>
      </c>
      <c r="I11" s="6" t="s">
        <v>2182</v>
      </c>
      <c r="J11" s="6" t="s">
        <v>2376</v>
      </c>
      <c r="K11" s="6" t="s">
        <v>2559</v>
      </c>
      <c r="L11" s="6" t="s">
        <v>3151</v>
      </c>
      <c r="M11" s="9" t="s">
        <v>3282</v>
      </c>
      <c r="N11" s="5" t="str">
        <f>TEXT(H11,"DD-MMM-YYY")</f>
        <v>08-Mar-1992</v>
      </c>
      <c r="O11" s="6" t="s">
        <v>3876</v>
      </c>
    </row>
    <row r="12" spans="1:15" x14ac:dyDescent="0.35">
      <c r="A12" s="3" t="s">
        <v>115</v>
      </c>
      <c r="B12" s="3" t="s">
        <v>116</v>
      </c>
      <c r="C12" s="3" t="s">
        <v>117</v>
      </c>
      <c r="D12" s="3" t="s">
        <v>118</v>
      </c>
      <c r="E12" s="3" t="s">
        <v>119</v>
      </c>
      <c r="F12" s="3" t="s">
        <v>120</v>
      </c>
      <c r="G12" s="3" t="s">
        <v>121</v>
      </c>
      <c r="H12" s="4">
        <v>34102</v>
      </c>
      <c r="I12" s="6" t="s">
        <v>2183</v>
      </c>
      <c r="J12" s="6" t="s">
        <v>2377</v>
      </c>
      <c r="K12" s="6" t="s">
        <v>2560</v>
      </c>
      <c r="L12" s="6" t="s">
        <v>3152</v>
      </c>
      <c r="M12" s="9" t="s">
        <v>3283</v>
      </c>
      <c r="N12" s="5" t="str">
        <f t="shared" ref="N12" si="0">TEXT(H12, "DD-MMM-YYY")</f>
        <v>13-May-1993</v>
      </c>
      <c r="O12" s="6" t="s">
        <v>3877</v>
      </c>
    </row>
    <row r="13" spans="1:15" x14ac:dyDescent="0.35">
      <c r="A13" s="3" t="s">
        <v>122</v>
      </c>
      <c r="B13" s="3" t="s">
        <v>123</v>
      </c>
      <c r="C13" s="3" t="s">
        <v>124</v>
      </c>
      <c r="D13" s="3" t="s">
        <v>125</v>
      </c>
      <c r="E13" s="3" t="s">
        <v>126</v>
      </c>
      <c r="F13" s="3" t="s">
        <v>127</v>
      </c>
      <c r="G13" s="3" t="s">
        <v>128</v>
      </c>
      <c r="H13" s="4">
        <v>34533</v>
      </c>
      <c r="I13" s="6" t="s">
        <v>2184</v>
      </c>
      <c r="J13" s="6" t="s">
        <v>2378</v>
      </c>
      <c r="K13" s="6" t="s">
        <v>2561</v>
      </c>
      <c r="L13" s="6" t="s">
        <v>3153</v>
      </c>
      <c r="M13" s="9" t="s">
        <v>3284</v>
      </c>
      <c r="N13" s="5" t="str">
        <f t="shared" ref="N13" si="1">TEXT(H13,"DD-MMM-YYY")</f>
        <v>18-Jul-1994</v>
      </c>
      <c r="O13" s="6" t="s">
        <v>3878</v>
      </c>
    </row>
    <row r="14" spans="1:15" x14ac:dyDescent="0.35">
      <c r="A14" s="3" t="s">
        <v>129</v>
      </c>
      <c r="B14" s="3" t="s">
        <v>130</v>
      </c>
      <c r="C14" s="3" t="s">
        <v>131</v>
      </c>
      <c r="D14" s="3" t="s">
        <v>132</v>
      </c>
      <c r="E14" s="3" t="s">
        <v>126</v>
      </c>
      <c r="F14" s="3" t="s">
        <v>133</v>
      </c>
      <c r="G14" s="3" t="s">
        <v>134</v>
      </c>
      <c r="H14" s="4">
        <v>34965</v>
      </c>
      <c r="I14" s="6" t="s">
        <v>2185</v>
      </c>
      <c r="J14" s="6" t="s">
        <v>2379</v>
      </c>
      <c r="K14" s="6" t="s">
        <v>2562</v>
      </c>
      <c r="L14" s="6" t="s">
        <v>3151</v>
      </c>
      <c r="M14" s="9" t="s">
        <v>3285</v>
      </c>
      <c r="N14" s="5" t="str">
        <f t="shared" ref="N14" si="2">TEXT(H14, "DD-MMM-YYY")</f>
        <v>23-Sept-1995</v>
      </c>
      <c r="O14" s="6" t="s">
        <v>3879</v>
      </c>
    </row>
    <row r="15" spans="1:15" x14ac:dyDescent="0.35">
      <c r="A15" s="3" t="s">
        <v>135</v>
      </c>
      <c r="B15" s="3" t="s">
        <v>136</v>
      </c>
      <c r="C15" s="3" t="s">
        <v>137</v>
      </c>
      <c r="D15" s="3" t="s">
        <v>138</v>
      </c>
      <c r="E15" s="3" t="s">
        <v>139</v>
      </c>
      <c r="F15" s="3" t="s">
        <v>140</v>
      </c>
      <c r="G15" s="3" t="s">
        <v>141</v>
      </c>
      <c r="H15" s="4">
        <v>35397</v>
      </c>
      <c r="I15" s="6" t="s">
        <v>2186</v>
      </c>
      <c r="J15" s="6" t="s">
        <v>1613</v>
      </c>
      <c r="K15" s="6" t="s">
        <v>2563</v>
      </c>
      <c r="L15" s="6" t="s">
        <v>3154</v>
      </c>
      <c r="M15" s="9" t="s">
        <v>3286</v>
      </c>
      <c r="N15" s="5" t="str">
        <f t="shared" ref="N15" si="3">TEXT(H15,"DD-MMM-YYY")</f>
        <v>28-Nov-1996</v>
      </c>
      <c r="O15" s="6" t="s">
        <v>3880</v>
      </c>
    </row>
    <row r="16" spans="1:15" x14ac:dyDescent="0.35">
      <c r="A16" s="3" t="s">
        <v>142</v>
      </c>
      <c r="B16" s="3" t="s">
        <v>143</v>
      </c>
      <c r="C16" s="3" t="s">
        <v>144</v>
      </c>
      <c r="D16" s="3" t="s">
        <v>145</v>
      </c>
      <c r="E16" s="3" t="s">
        <v>146</v>
      </c>
      <c r="F16" s="3" t="s">
        <v>147</v>
      </c>
      <c r="G16" s="3" t="s">
        <v>148</v>
      </c>
      <c r="H16" s="4">
        <v>35435</v>
      </c>
      <c r="I16" s="6" t="s">
        <v>2187</v>
      </c>
      <c r="J16" s="6" t="s">
        <v>2380</v>
      </c>
      <c r="K16" s="6" t="s">
        <v>2564</v>
      </c>
      <c r="L16" s="6" t="s">
        <v>3155</v>
      </c>
      <c r="M16" s="9" t="s">
        <v>3287</v>
      </c>
      <c r="N16" s="5" t="str">
        <f t="shared" ref="N16" si="4">TEXT(H16, "DD-MMM-YYY")</f>
        <v>05-Jan-1997</v>
      </c>
      <c r="O16" s="6" t="s">
        <v>3881</v>
      </c>
    </row>
    <row r="17" spans="1:15" x14ac:dyDescent="0.35">
      <c r="A17" s="3" t="s">
        <v>149</v>
      </c>
      <c r="B17" s="3" t="s">
        <v>150</v>
      </c>
      <c r="C17" s="3" t="s">
        <v>151</v>
      </c>
      <c r="D17" s="3" t="s">
        <v>152</v>
      </c>
      <c r="E17" s="3" t="s">
        <v>153</v>
      </c>
      <c r="F17" s="3" t="s">
        <v>154</v>
      </c>
      <c r="G17" s="3" t="s">
        <v>155</v>
      </c>
      <c r="H17" s="4">
        <v>35864</v>
      </c>
      <c r="I17" s="6" t="s">
        <v>2188</v>
      </c>
      <c r="J17" s="6" t="s">
        <v>2381</v>
      </c>
      <c r="K17" s="6" t="s">
        <v>2565</v>
      </c>
      <c r="L17" s="6" t="s">
        <v>3156</v>
      </c>
      <c r="M17" s="9" t="s">
        <v>3288</v>
      </c>
      <c r="N17" s="5" t="str">
        <f t="shared" ref="N17" si="5">TEXT(H17,"DD-MMM-YYY")</f>
        <v>10-Mar-1998</v>
      </c>
      <c r="O17" s="6" t="s">
        <v>3882</v>
      </c>
    </row>
    <row r="18" spans="1:15" x14ac:dyDescent="0.35">
      <c r="A18" s="3" t="s">
        <v>156</v>
      </c>
      <c r="B18" s="3" t="s">
        <v>157</v>
      </c>
      <c r="C18" s="3" t="s">
        <v>158</v>
      </c>
      <c r="D18" s="3" t="s">
        <v>159</v>
      </c>
      <c r="E18" s="3" t="s">
        <v>77</v>
      </c>
      <c r="F18" s="3" t="s">
        <v>160</v>
      </c>
      <c r="G18" s="3" t="s">
        <v>161</v>
      </c>
      <c r="H18" s="4">
        <v>36295</v>
      </c>
      <c r="I18" s="6" t="s">
        <v>2189</v>
      </c>
      <c r="J18" s="6" t="s">
        <v>2382</v>
      </c>
      <c r="K18" s="6" t="s">
        <v>2566</v>
      </c>
      <c r="L18" s="6" t="s">
        <v>3157</v>
      </c>
      <c r="M18" s="9" t="s">
        <v>3289</v>
      </c>
      <c r="N18" s="5" t="str">
        <f t="shared" ref="N18" si="6">TEXT(H18, "DD-MMM-YYY")</f>
        <v>15-May-1999</v>
      </c>
      <c r="O18" s="6" t="s">
        <v>3883</v>
      </c>
    </row>
    <row r="19" spans="1:15" x14ac:dyDescent="0.35">
      <c r="A19" s="3" t="s">
        <v>162</v>
      </c>
      <c r="B19" s="3" t="s">
        <v>163</v>
      </c>
      <c r="C19" s="3" t="s">
        <v>164</v>
      </c>
      <c r="D19" s="3" t="s">
        <v>165</v>
      </c>
      <c r="E19" s="3" t="s">
        <v>166</v>
      </c>
      <c r="F19" s="3" t="s">
        <v>167</v>
      </c>
      <c r="G19" s="3" t="s">
        <v>168</v>
      </c>
      <c r="H19" s="4">
        <v>31248</v>
      </c>
      <c r="I19" s="6" t="s">
        <v>2190</v>
      </c>
      <c r="J19" s="6" t="s">
        <v>2383</v>
      </c>
      <c r="K19" s="6" t="s">
        <v>2567</v>
      </c>
      <c r="L19" s="6" t="s">
        <v>3158</v>
      </c>
      <c r="M19" s="9" t="s">
        <v>3290</v>
      </c>
      <c r="N19" s="5" t="str">
        <f t="shared" ref="N19" si="7">TEXT(H19,"DD-MMM-YYY")</f>
        <v>20-Jul-1985</v>
      </c>
      <c r="O19" s="6" t="s">
        <v>3884</v>
      </c>
    </row>
    <row r="20" spans="1:15" x14ac:dyDescent="0.35">
      <c r="A20" s="3" t="s">
        <v>169</v>
      </c>
      <c r="B20" s="3" t="s">
        <v>170</v>
      </c>
      <c r="C20" s="3" t="s">
        <v>19</v>
      </c>
      <c r="D20" s="3" t="s">
        <v>171</v>
      </c>
      <c r="E20" s="3" t="s">
        <v>172</v>
      </c>
      <c r="F20" s="3" t="s">
        <v>173</v>
      </c>
      <c r="G20" s="3" t="s">
        <v>174</v>
      </c>
      <c r="H20" s="4">
        <v>31680</v>
      </c>
      <c r="I20" s="6" t="s">
        <v>2191</v>
      </c>
      <c r="J20" s="6" t="s">
        <v>2384</v>
      </c>
      <c r="K20" s="6" t="s">
        <v>2568</v>
      </c>
      <c r="L20" s="6" t="s">
        <v>3159</v>
      </c>
      <c r="M20" s="9" t="s">
        <v>3291</v>
      </c>
      <c r="N20" s="5" t="str">
        <f t="shared" ref="N20" si="8">TEXT(H20, "DD-MMM-YYY")</f>
        <v>25-Sept-1986</v>
      </c>
      <c r="O20" s="6" t="s">
        <v>30</v>
      </c>
    </row>
    <row r="21" spans="1:15" x14ac:dyDescent="0.35">
      <c r="A21" s="3" t="s">
        <v>175</v>
      </c>
      <c r="B21" s="3" t="s">
        <v>176</v>
      </c>
      <c r="C21" s="3" t="s">
        <v>33</v>
      </c>
      <c r="D21" s="3" t="s">
        <v>162</v>
      </c>
      <c r="E21" s="3" t="s">
        <v>63</v>
      </c>
      <c r="F21" s="3" t="s">
        <v>177</v>
      </c>
      <c r="G21" s="3" t="s">
        <v>178</v>
      </c>
      <c r="H21" s="4">
        <v>32083</v>
      </c>
      <c r="I21" s="6" t="s">
        <v>2192</v>
      </c>
      <c r="J21" s="6" t="s">
        <v>2385</v>
      </c>
      <c r="K21" s="6" t="s">
        <v>2569</v>
      </c>
      <c r="L21" s="6" t="s">
        <v>3160</v>
      </c>
      <c r="M21" s="9" t="s">
        <v>3292</v>
      </c>
      <c r="N21" s="5" t="str">
        <f t="shared" ref="N21" si="9">TEXT(H21,"DD-MMM-YYY")</f>
        <v>02-Nov-1987</v>
      </c>
      <c r="O21" s="6" t="s">
        <v>44</v>
      </c>
    </row>
    <row r="22" spans="1:15" x14ac:dyDescent="0.35">
      <c r="A22" s="3" t="s">
        <v>179</v>
      </c>
      <c r="B22" s="3" t="s">
        <v>180</v>
      </c>
      <c r="C22" s="3" t="s">
        <v>47</v>
      </c>
      <c r="D22" s="3" t="s">
        <v>181</v>
      </c>
      <c r="E22" s="3" t="s">
        <v>182</v>
      </c>
      <c r="F22" s="3" t="s">
        <v>183</v>
      </c>
      <c r="G22" s="3" t="s">
        <v>184</v>
      </c>
      <c r="H22" s="4">
        <v>32149</v>
      </c>
      <c r="I22" s="6" t="s">
        <v>2193</v>
      </c>
      <c r="J22" s="6" t="s">
        <v>2386</v>
      </c>
      <c r="K22" s="6" t="s">
        <v>2570</v>
      </c>
      <c r="L22" s="6" t="s">
        <v>27</v>
      </c>
      <c r="M22" s="9" t="s">
        <v>3293</v>
      </c>
      <c r="N22" s="5" t="str">
        <f t="shared" ref="N22" si="10">TEXT(H22, "DD-MMM-YYY")</f>
        <v>07-Jan-1988</v>
      </c>
      <c r="O22" s="6" t="s">
        <v>58</v>
      </c>
    </row>
    <row r="23" spans="1:15" x14ac:dyDescent="0.35">
      <c r="A23" s="3" t="s">
        <v>185</v>
      </c>
      <c r="B23" s="3" t="s">
        <v>186</v>
      </c>
      <c r="C23" s="3" t="s">
        <v>61</v>
      </c>
      <c r="D23" s="3" t="s">
        <v>187</v>
      </c>
      <c r="E23" s="3" t="s">
        <v>188</v>
      </c>
      <c r="F23" s="3" t="s">
        <v>189</v>
      </c>
      <c r="G23" s="3" t="s">
        <v>190</v>
      </c>
      <c r="H23" s="4">
        <v>32579</v>
      </c>
      <c r="I23" s="6" t="s">
        <v>2194</v>
      </c>
      <c r="J23" s="6" t="s">
        <v>2387</v>
      </c>
      <c r="K23" s="6" t="s">
        <v>2571</v>
      </c>
      <c r="L23" s="6" t="s">
        <v>3161</v>
      </c>
      <c r="M23" s="9" t="s">
        <v>3294</v>
      </c>
      <c r="N23" s="5" t="str">
        <f t="shared" ref="N23" si="11">TEXT(H23,"DD-MMM-YYY")</f>
        <v>12-Mar-1989</v>
      </c>
      <c r="O23" s="6" t="s">
        <v>72</v>
      </c>
    </row>
    <row r="24" spans="1:15" x14ac:dyDescent="0.35">
      <c r="A24" s="3" t="s">
        <v>191</v>
      </c>
      <c r="B24" s="3" t="s">
        <v>192</v>
      </c>
      <c r="C24" s="3" t="s">
        <v>75</v>
      </c>
      <c r="D24" s="3" t="s">
        <v>20</v>
      </c>
      <c r="E24" s="3" t="s">
        <v>21</v>
      </c>
      <c r="F24" s="3" t="s">
        <v>193</v>
      </c>
      <c r="G24" s="3" t="s">
        <v>194</v>
      </c>
      <c r="H24" s="4">
        <v>33010</v>
      </c>
      <c r="I24" s="6" t="s">
        <v>2195</v>
      </c>
      <c r="J24" s="6" t="s">
        <v>2388</v>
      </c>
      <c r="K24" s="6" t="s">
        <v>2572</v>
      </c>
      <c r="L24" s="6" t="s">
        <v>3162</v>
      </c>
      <c r="M24" s="9" t="s">
        <v>3295</v>
      </c>
      <c r="N24" s="5" t="str">
        <f t="shared" ref="N24" si="12">TEXT(H24, "DD-MMM-YYY")</f>
        <v>17-May-1990</v>
      </c>
      <c r="O24" s="6" t="s">
        <v>86</v>
      </c>
    </row>
    <row r="25" spans="1:15" x14ac:dyDescent="0.35">
      <c r="A25" s="3" t="s">
        <v>195</v>
      </c>
      <c r="B25" s="3" t="s">
        <v>196</v>
      </c>
      <c r="C25" s="3" t="s">
        <v>89</v>
      </c>
      <c r="D25" s="3" t="s">
        <v>34</v>
      </c>
      <c r="E25" s="3" t="s">
        <v>35</v>
      </c>
      <c r="F25" s="3" t="s">
        <v>197</v>
      </c>
      <c r="G25" s="3" t="s">
        <v>198</v>
      </c>
      <c r="H25" s="4">
        <v>33441</v>
      </c>
      <c r="I25" s="6" t="s">
        <v>2196</v>
      </c>
      <c r="J25" s="6" t="s">
        <v>1528</v>
      </c>
      <c r="K25" s="6" t="s">
        <v>2557</v>
      </c>
      <c r="L25" s="6" t="s">
        <v>3163</v>
      </c>
      <c r="M25" s="9" t="s">
        <v>3296</v>
      </c>
      <c r="N25" s="5" t="str">
        <f t="shared" ref="N25" si="13">TEXT(H25,"DD-MMM-YYY")</f>
        <v>22-Jul-1991</v>
      </c>
      <c r="O25" s="6" t="s">
        <v>100</v>
      </c>
    </row>
    <row r="26" spans="1:15" x14ac:dyDescent="0.35">
      <c r="A26" s="3" t="s">
        <v>199</v>
      </c>
      <c r="B26" s="3" t="s">
        <v>200</v>
      </c>
      <c r="C26" s="3" t="s">
        <v>103</v>
      </c>
      <c r="D26" s="3" t="s">
        <v>48</v>
      </c>
      <c r="E26" s="3" t="s">
        <v>49</v>
      </c>
      <c r="F26" s="3" t="s">
        <v>201</v>
      </c>
      <c r="G26" s="3" t="s">
        <v>202</v>
      </c>
      <c r="H26" s="4">
        <v>33874</v>
      </c>
      <c r="I26" s="6" t="s">
        <v>2197</v>
      </c>
      <c r="J26" s="6" t="s">
        <v>2389</v>
      </c>
      <c r="K26" s="6" t="s">
        <v>2573</v>
      </c>
      <c r="L26" s="6" t="s">
        <v>97</v>
      </c>
      <c r="M26" s="9" t="s">
        <v>3297</v>
      </c>
      <c r="N26" s="5" t="str">
        <f t="shared" ref="N26" si="14">TEXT(H26, "DD-MMM-YYY")</f>
        <v>27-Sept-1992</v>
      </c>
      <c r="O26" s="6" t="s">
        <v>3875</v>
      </c>
    </row>
    <row r="27" spans="1:15" x14ac:dyDescent="0.35">
      <c r="A27" s="3" t="s">
        <v>203</v>
      </c>
      <c r="B27" s="3" t="s">
        <v>204</v>
      </c>
      <c r="C27" s="3" t="s">
        <v>110</v>
      </c>
      <c r="D27" s="3" t="s">
        <v>62</v>
      </c>
      <c r="E27" s="3" t="s">
        <v>63</v>
      </c>
      <c r="F27" s="3" t="s">
        <v>205</v>
      </c>
      <c r="G27" s="3" t="s">
        <v>206</v>
      </c>
      <c r="H27" s="4">
        <v>34277</v>
      </c>
      <c r="I27" s="6" t="s">
        <v>2198</v>
      </c>
      <c r="J27" s="6" t="s">
        <v>2390</v>
      </c>
      <c r="K27" s="6" t="s">
        <v>2574</v>
      </c>
      <c r="L27" s="6" t="s">
        <v>3164</v>
      </c>
      <c r="M27" s="9" t="s">
        <v>3298</v>
      </c>
      <c r="N27" s="5" t="str">
        <f t="shared" ref="N27" si="15">TEXT(H27,"DD-MMM-YYY")</f>
        <v>04-Nov-1993</v>
      </c>
      <c r="O27" s="6" t="s">
        <v>3876</v>
      </c>
    </row>
    <row r="28" spans="1:15" x14ac:dyDescent="0.35">
      <c r="A28" s="3" t="s">
        <v>207</v>
      </c>
      <c r="B28" s="3" t="s">
        <v>208</v>
      </c>
      <c r="C28" s="3" t="s">
        <v>117</v>
      </c>
      <c r="D28" s="3" t="s">
        <v>76</v>
      </c>
      <c r="E28" s="3" t="s">
        <v>77</v>
      </c>
      <c r="F28" s="3" t="s">
        <v>209</v>
      </c>
      <c r="G28" s="3" t="s">
        <v>210</v>
      </c>
      <c r="H28" s="4">
        <v>34343</v>
      </c>
      <c r="I28" s="6" t="s">
        <v>2199</v>
      </c>
      <c r="J28" s="6" t="s">
        <v>2391</v>
      </c>
      <c r="K28" s="6" t="s">
        <v>2575</v>
      </c>
      <c r="L28" s="6" t="s">
        <v>3165</v>
      </c>
      <c r="M28" s="9" t="s">
        <v>3299</v>
      </c>
      <c r="N28" s="5" t="str">
        <f t="shared" ref="N28" si="16">TEXT(H28, "DD-MMM-YYY")</f>
        <v>09-Jan-1994</v>
      </c>
      <c r="O28" s="6" t="s">
        <v>3877</v>
      </c>
    </row>
    <row r="29" spans="1:15" x14ac:dyDescent="0.35">
      <c r="A29" s="3" t="s">
        <v>211</v>
      </c>
      <c r="B29" s="3" t="s">
        <v>212</v>
      </c>
      <c r="C29" s="3" t="s">
        <v>124</v>
      </c>
      <c r="D29" s="3" t="s">
        <v>90</v>
      </c>
      <c r="E29" s="3" t="s">
        <v>91</v>
      </c>
      <c r="F29" s="3" t="s">
        <v>213</v>
      </c>
      <c r="G29" s="3" t="s">
        <v>214</v>
      </c>
      <c r="H29" s="4">
        <v>34772</v>
      </c>
      <c r="I29" s="6" t="s">
        <v>2200</v>
      </c>
      <c r="J29" s="6" t="s">
        <v>2392</v>
      </c>
      <c r="K29" s="6" t="s">
        <v>2558</v>
      </c>
      <c r="L29" s="6" t="s">
        <v>3166</v>
      </c>
      <c r="M29" s="9" t="s">
        <v>3300</v>
      </c>
      <c r="N29" s="5" t="str">
        <f t="shared" ref="N29" si="17">TEXT(H29,"DD-MMM-YYY")</f>
        <v>14-Mar-1995</v>
      </c>
      <c r="O29" s="6" t="s">
        <v>3878</v>
      </c>
    </row>
    <row r="30" spans="1:15" x14ac:dyDescent="0.35">
      <c r="A30" s="3" t="s">
        <v>215</v>
      </c>
      <c r="B30" s="3" t="s">
        <v>216</v>
      </c>
      <c r="C30" s="3" t="s">
        <v>131</v>
      </c>
      <c r="D30" s="3" t="s">
        <v>104</v>
      </c>
      <c r="E30" s="3" t="s">
        <v>105</v>
      </c>
      <c r="F30" s="3" t="s">
        <v>217</v>
      </c>
      <c r="G30" s="3" t="s">
        <v>218</v>
      </c>
      <c r="H30" s="4">
        <v>35204</v>
      </c>
      <c r="I30" s="6" t="s">
        <v>2201</v>
      </c>
      <c r="J30" s="6" t="s">
        <v>2393</v>
      </c>
      <c r="K30" s="6" t="s">
        <v>2576</v>
      </c>
      <c r="L30" s="6" t="s">
        <v>41</v>
      </c>
      <c r="M30" s="9" t="s">
        <v>3301</v>
      </c>
      <c r="N30" s="5" t="str">
        <f t="shared" ref="N30" si="18">TEXT(H30, "DD-MMM-YYY")</f>
        <v>19-May-1996</v>
      </c>
      <c r="O30" s="6" t="s">
        <v>3879</v>
      </c>
    </row>
    <row r="31" spans="1:15" x14ac:dyDescent="0.35">
      <c r="A31" s="3" t="s">
        <v>219</v>
      </c>
      <c r="B31" s="3" t="s">
        <v>220</v>
      </c>
      <c r="C31" s="3" t="s">
        <v>137</v>
      </c>
      <c r="D31" s="3" t="s">
        <v>111</v>
      </c>
      <c r="E31" s="3" t="s">
        <v>112</v>
      </c>
      <c r="F31" s="3" t="s">
        <v>221</v>
      </c>
      <c r="G31" s="3" t="s">
        <v>222</v>
      </c>
      <c r="H31" s="4">
        <v>35635</v>
      </c>
      <c r="I31" s="6" t="s">
        <v>2202</v>
      </c>
      <c r="J31" s="6" t="s">
        <v>2394</v>
      </c>
      <c r="K31" s="6" t="s">
        <v>2577</v>
      </c>
      <c r="L31" s="6" t="s">
        <v>3167</v>
      </c>
      <c r="M31" s="9" t="s">
        <v>3302</v>
      </c>
      <c r="N31" s="5" t="str">
        <f t="shared" ref="N31" si="19">TEXT(H31,"DD-MMM-YYY")</f>
        <v>24-Jul-1997</v>
      </c>
      <c r="O31" s="6" t="s">
        <v>3880</v>
      </c>
    </row>
    <row r="32" spans="1:15" x14ac:dyDescent="0.35">
      <c r="A32" s="3" t="s">
        <v>223</v>
      </c>
      <c r="B32" s="3" t="s">
        <v>224</v>
      </c>
      <c r="C32" s="3" t="s">
        <v>144</v>
      </c>
      <c r="D32" s="3" t="s">
        <v>118</v>
      </c>
      <c r="E32" s="3" t="s">
        <v>119</v>
      </c>
      <c r="F32" s="3" t="s">
        <v>225</v>
      </c>
      <c r="G32" s="3" t="s">
        <v>226</v>
      </c>
      <c r="H32" s="4">
        <v>36039</v>
      </c>
      <c r="I32" s="6" t="s">
        <v>2203</v>
      </c>
      <c r="J32" s="6" t="s">
        <v>2395</v>
      </c>
      <c r="K32" s="6" t="s">
        <v>2578</v>
      </c>
      <c r="L32" s="6" t="s">
        <v>3168</v>
      </c>
      <c r="M32" s="9" t="s">
        <v>3303</v>
      </c>
      <c r="N32" s="5" t="str">
        <f t="shared" ref="N32" si="20">TEXT(H32, "DD-MMM-YYY")</f>
        <v>01-Sept-1998</v>
      </c>
      <c r="O32" s="6" t="s">
        <v>3881</v>
      </c>
    </row>
    <row r="33" spans="1:15" x14ac:dyDescent="0.35">
      <c r="A33" s="3" t="s">
        <v>227</v>
      </c>
      <c r="B33" s="3" t="s">
        <v>228</v>
      </c>
      <c r="C33" s="3" t="s">
        <v>151</v>
      </c>
      <c r="D33" s="3" t="s">
        <v>125</v>
      </c>
      <c r="E33" s="3" t="s">
        <v>126</v>
      </c>
      <c r="F33" s="3" t="s">
        <v>229</v>
      </c>
      <c r="G33" s="3" t="s">
        <v>230</v>
      </c>
      <c r="H33" s="4">
        <v>36470</v>
      </c>
      <c r="I33" s="6" t="s">
        <v>2204</v>
      </c>
      <c r="J33" s="6" t="s">
        <v>2396</v>
      </c>
      <c r="K33" s="6" t="s">
        <v>2579</v>
      </c>
      <c r="L33" s="6" t="s">
        <v>3169</v>
      </c>
      <c r="M33" s="9" t="s">
        <v>3304</v>
      </c>
      <c r="N33" s="5" t="str">
        <f t="shared" ref="N33" si="21">TEXT(H33,"DD-MMM-YYY")</f>
        <v>06-Nov-1999</v>
      </c>
      <c r="O33" s="6" t="s">
        <v>3882</v>
      </c>
    </row>
    <row r="34" spans="1:15" x14ac:dyDescent="0.35">
      <c r="A34" s="3" t="s">
        <v>231</v>
      </c>
      <c r="B34" s="3" t="s">
        <v>232</v>
      </c>
      <c r="C34" s="3" t="s">
        <v>158</v>
      </c>
      <c r="D34" s="3" t="s">
        <v>132</v>
      </c>
      <c r="E34" s="3" t="s">
        <v>126</v>
      </c>
      <c r="F34" s="3" t="s">
        <v>233</v>
      </c>
      <c r="G34" s="3" t="s">
        <v>234</v>
      </c>
      <c r="H34" s="4">
        <v>31058</v>
      </c>
      <c r="I34" s="6" t="s">
        <v>2205</v>
      </c>
      <c r="J34" s="6" t="s">
        <v>2397</v>
      </c>
      <c r="K34" s="6" t="s">
        <v>2580</v>
      </c>
      <c r="L34" s="6" t="s">
        <v>3170</v>
      </c>
      <c r="M34" s="9" t="s">
        <v>3305</v>
      </c>
      <c r="N34" s="5" t="str">
        <f t="shared" ref="N34" si="22">TEXT(H34, "DD-MMM-YYY")</f>
        <v>11-Jan-1985</v>
      </c>
      <c r="O34" s="6" t="s">
        <v>3883</v>
      </c>
    </row>
    <row r="35" spans="1:15" x14ac:dyDescent="0.35">
      <c r="A35" s="3" t="s">
        <v>235</v>
      </c>
      <c r="B35" s="3" t="s">
        <v>236</v>
      </c>
      <c r="C35" s="3" t="s">
        <v>164</v>
      </c>
      <c r="D35" s="3" t="s">
        <v>138</v>
      </c>
      <c r="E35" s="3" t="s">
        <v>139</v>
      </c>
      <c r="F35" s="3" t="s">
        <v>237</v>
      </c>
      <c r="G35" s="3" t="s">
        <v>238</v>
      </c>
      <c r="H35" s="4">
        <v>31487</v>
      </c>
      <c r="I35" s="6" t="s">
        <v>2206</v>
      </c>
      <c r="J35" s="6" t="s">
        <v>1673</v>
      </c>
      <c r="K35" s="6" t="s">
        <v>2581</v>
      </c>
      <c r="L35" s="6" t="s">
        <v>3171</v>
      </c>
      <c r="M35" s="9" t="s">
        <v>3306</v>
      </c>
      <c r="N35" s="5" t="str">
        <f t="shared" ref="N35" si="23">TEXT(H35,"DD-MMM-YYY")</f>
        <v>16-Mar-1986</v>
      </c>
      <c r="O35" s="6" t="s">
        <v>3884</v>
      </c>
    </row>
    <row r="36" spans="1:15" x14ac:dyDescent="0.35">
      <c r="A36" s="3" t="s">
        <v>239</v>
      </c>
      <c r="B36" s="3" t="s">
        <v>240</v>
      </c>
      <c r="C36" s="3" t="s">
        <v>19</v>
      </c>
      <c r="D36" s="3" t="s">
        <v>145</v>
      </c>
      <c r="E36" s="3" t="s">
        <v>146</v>
      </c>
      <c r="F36" s="3" t="s">
        <v>241</v>
      </c>
      <c r="G36" s="3" t="s">
        <v>242</v>
      </c>
      <c r="H36" s="4">
        <v>31918</v>
      </c>
      <c r="I36" s="6" t="s">
        <v>2207</v>
      </c>
      <c r="J36" s="6" t="s">
        <v>2398</v>
      </c>
      <c r="K36" s="6" t="s">
        <v>2582</v>
      </c>
      <c r="L36" s="6" t="s">
        <v>3172</v>
      </c>
      <c r="M36" s="9" t="s">
        <v>3307</v>
      </c>
      <c r="N36" s="5" t="str">
        <f t="shared" ref="N36" si="24">TEXT(H36, "DD-MMM-YYY")</f>
        <v>21-May-1987</v>
      </c>
      <c r="O36" s="6" t="s">
        <v>30</v>
      </c>
    </row>
    <row r="37" spans="1:15" x14ac:dyDescent="0.35">
      <c r="A37" s="3" t="s">
        <v>243</v>
      </c>
      <c r="B37" s="3" t="s">
        <v>244</v>
      </c>
      <c r="C37" s="3" t="s">
        <v>33</v>
      </c>
      <c r="D37" s="3" t="s">
        <v>152</v>
      </c>
      <c r="E37" s="3" t="s">
        <v>153</v>
      </c>
      <c r="F37" s="3" t="s">
        <v>245</v>
      </c>
      <c r="G37" s="3" t="s">
        <v>246</v>
      </c>
      <c r="H37" s="4">
        <v>32350</v>
      </c>
      <c r="I37" s="6" t="s">
        <v>2208</v>
      </c>
      <c r="J37" s="6" t="s">
        <v>2399</v>
      </c>
      <c r="K37" s="6" t="s">
        <v>2583</v>
      </c>
      <c r="L37" s="6" t="s">
        <v>3173</v>
      </c>
      <c r="M37" s="9" t="s">
        <v>3308</v>
      </c>
      <c r="N37" s="5" t="str">
        <f t="shared" ref="N37" si="25">TEXT(H37,"DD-MMM-YYY")</f>
        <v>26-Jul-1988</v>
      </c>
      <c r="O37" s="6" t="s">
        <v>44</v>
      </c>
    </row>
    <row r="38" spans="1:15" x14ac:dyDescent="0.35">
      <c r="A38" s="3" t="s">
        <v>247</v>
      </c>
      <c r="B38" s="3" t="s">
        <v>248</v>
      </c>
      <c r="C38" s="3" t="s">
        <v>47</v>
      </c>
      <c r="D38" s="3" t="s">
        <v>159</v>
      </c>
      <c r="E38" s="3" t="s">
        <v>77</v>
      </c>
      <c r="F38" s="3" t="s">
        <v>249</v>
      </c>
      <c r="G38" s="3" t="s">
        <v>250</v>
      </c>
      <c r="H38" s="4">
        <v>32754</v>
      </c>
      <c r="I38" s="6" t="s">
        <v>2209</v>
      </c>
      <c r="J38" s="6" t="s">
        <v>2400</v>
      </c>
      <c r="K38" s="6" t="s">
        <v>2584</v>
      </c>
      <c r="L38" s="6" t="s">
        <v>3174</v>
      </c>
      <c r="M38" s="9" t="s">
        <v>3309</v>
      </c>
      <c r="N38" s="5" t="str">
        <f t="shared" ref="N38" si="26">TEXT(H38, "DD-MMM-YYY")</f>
        <v>03-Sept-1989</v>
      </c>
      <c r="O38" s="6" t="s">
        <v>58</v>
      </c>
    </row>
    <row r="39" spans="1:15" x14ac:dyDescent="0.35">
      <c r="A39" s="3" t="s">
        <v>251</v>
      </c>
      <c r="B39" s="3" t="s">
        <v>252</v>
      </c>
      <c r="C39" s="3" t="s">
        <v>61</v>
      </c>
      <c r="D39" s="3" t="s">
        <v>165</v>
      </c>
      <c r="E39" s="3" t="s">
        <v>166</v>
      </c>
      <c r="F39" s="3" t="s">
        <v>253</v>
      </c>
      <c r="G39" s="3" t="s">
        <v>254</v>
      </c>
      <c r="H39" s="4">
        <v>33185</v>
      </c>
      <c r="I39" s="6" t="s">
        <v>2210</v>
      </c>
      <c r="J39" s="6" t="s">
        <v>2401</v>
      </c>
      <c r="K39" s="6" t="s">
        <v>2585</v>
      </c>
      <c r="L39" s="6" t="s">
        <v>3175</v>
      </c>
      <c r="M39" s="9" t="s">
        <v>3310</v>
      </c>
      <c r="N39" s="5" t="str">
        <f t="shared" ref="N39" si="27">TEXT(H39,"DD-MMM-YYY")</f>
        <v>08-Nov-1990</v>
      </c>
      <c r="O39" s="6" t="s">
        <v>72</v>
      </c>
    </row>
    <row r="40" spans="1:15" x14ac:dyDescent="0.35">
      <c r="A40" s="3" t="s">
        <v>255</v>
      </c>
      <c r="B40" s="3" t="s">
        <v>256</v>
      </c>
      <c r="C40" s="3" t="s">
        <v>75</v>
      </c>
      <c r="D40" s="3" t="s">
        <v>171</v>
      </c>
      <c r="E40" s="3" t="s">
        <v>172</v>
      </c>
      <c r="F40" s="3" t="s">
        <v>257</v>
      </c>
      <c r="G40" s="3" t="s">
        <v>258</v>
      </c>
      <c r="H40" s="4">
        <v>33251</v>
      </c>
      <c r="I40" s="6" t="s">
        <v>2211</v>
      </c>
      <c r="J40" s="6" t="s">
        <v>2402</v>
      </c>
      <c r="K40" s="6" t="s">
        <v>2586</v>
      </c>
      <c r="L40" s="6" t="s">
        <v>3176</v>
      </c>
      <c r="M40" s="9" t="s">
        <v>3311</v>
      </c>
      <c r="N40" s="5" t="str">
        <f t="shared" ref="N40" si="28">TEXT(H40, "DD-MMM-YYY")</f>
        <v>13-Jan-1991</v>
      </c>
      <c r="O40" s="6" t="s">
        <v>86</v>
      </c>
    </row>
    <row r="41" spans="1:15" x14ac:dyDescent="0.35">
      <c r="A41" s="3" t="s">
        <v>259</v>
      </c>
      <c r="B41" s="3" t="s">
        <v>260</v>
      </c>
      <c r="C41" s="3" t="s">
        <v>89</v>
      </c>
      <c r="D41" s="3" t="s">
        <v>162</v>
      </c>
      <c r="E41" s="3" t="s">
        <v>63</v>
      </c>
      <c r="F41" s="3" t="s">
        <v>261</v>
      </c>
      <c r="G41" s="3" t="s">
        <v>262</v>
      </c>
      <c r="H41" s="4">
        <v>33681</v>
      </c>
      <c r="I41" s="6" t="s">
        <v>2212</v>
      </c>
      <c r="J41" s="6" t="s">
        <v>2403</v>
      </c>
      <c r="K41" s="6" t="s">
        <v>2587</v>
      </c>
      <c r="L41" s="6" t="s">
        <v>3177</v>
      </c>
      <c r="M41" s="9" t="s">
        <v>3312</v>
      </c>
      <c r="N41" s="5" t="str">
        <f t="shared" ref="N41" si="29">TEXT(H41,"DD-MMM-YYY")</f>
        <v>18-Mar-1992</v>
      </c>
      <c r="O41" s="6" t="s">
        <v>100</v>
      </c>
    </row>
    <row r="42" spans="1:15" x14ac:dyDescent="0.35">
      <c r="A42" s="3" t="s">
        <v>263</v>
      </c>
      <c r="B42" s="3" t="s">
        <v>264</v>
      </c>
      <c r="C42" s="3" t="s">
        <v>103</v>
      </c>
      <c r="D42" s="3" t="s">
        <v>181</v>
      </c>
      <c r="E42" s="3" t="s">
        <v>182</v>
      </c>
      <c r="F42" s="3" t="s">
        <v>265</v>
      </c>
      <c r="G42" s="3" t="s">
        <v>266</v>
      </c>
      <c r="H42" s="4">
        <v>34112</v>
      </c>
      <c r="I42" s="6" t="s">
        <v>2213</v>
      </c>
      <c r="J42" s="6" t="s">
        <v>2404</v>
      </c>
      <c r="K42" s="6" t="s">
        <v>2588</v>
      </c>
      <c r="L42" s="6" t="s">
        <v>3178</v>
      </c>
      <c r="M42" s="9" t="s">
        <v>3313</v>
      </c>
      <c r="N42" s="5" t="str">
        <f t="shared" ref="N42" si="30">TEXT(H42, "DD-MMM-YYY")</f>
        <v>23-May-1993</v>
      </c>
      <c r="O42" s="6" t="s">
        <v>3875</v>
      </c>
    </row>
    <row r="43" spans="1:15" x14ac:dyDescent="0.35">
      <c r="A43" s="3" t="s">
        <v>267</v>
      </c>
      <c r="B43" s="3" t="s">
        <v>268</v>
      </c>
      <c r="C43" s="3" t="s">
        <v>110</v>
      </c>
      <c r="D43" s="3" t="s">
        <v>187</v>
      </c>
      <c r="E43" s="3" t="s">
        <v>188</v>
      </c>
      <c r="F43" s="3" t="s">
        <v>269</v>
      </c>
      <c r="G43" s="3" t="s">
        <v>270</v>
      </c>
      <c r="H43" s="4">
        <v>34543</v>
      </c>
      <c r="I43" s="6" t="s">
        <v>2214</v>
      </c>
      <c r="J43" s="6" t="s">
        <v>2405</v>
      </c>
      <c r="K43" s="6" t="s">
        <v>2589</v>
      </c>
      <c r="L43" s="6" t="s">
        <v>3179</v>
      </c>
      <c r="M43" s="9" t="s">
        <v>3314</v>
      </c>
      <c r="N43" s="5" t="str">
        <f t="shared" ref="N43" si="31">TEXT(H43,"DD-MMM-YYY")</f>
        <v>28-Jul-1994</v>
      </c>
      <c r="O43" s="6" t="s">
        <v>3876</v>
      </c>
    </row>
    <row r="44" spans="1:15" x14ac:dyDescent="0.35">
      <c r="A44" s="3" t="s">
        <v>271</v>
      </c>
      <c r="B44" s="3" t="s">
        <v>18</v>
      </c>
      <c r="C44" s="3" t="s">
        <v>117</v>
      </c>
      <c r="D44" s="3" t="s">
        <v>20</v>
      </c>
      <c r="E44" s="3" t="s">
        <v>21</v>
      </c>
      <c r="F44" s="3" t="s">
        <v>272</v>
      </c>
      <c r="G44" s="3" t="s">
        <v>273</v>
      </c>
      <c r="H44" s="4">
        <v>34947</v>
      </c>
      <c r="I44" s="6" t="s">
        <v>2215</v>
      </c>
      <c r="J44" s="6" t="s">
        <v>2406</v>
      </c>
      <c r="K44" s="6" t="s">
        <v>2590</v>
      </c>
      <c r="L44" s="6" t="s">
        <v>3180</v>
      </c>
      <c r="M44" s="9" t="s">
        <v>3315</v>
      </c>
      <c r="N44" s="5" t="str">
        <f t="shared" ref="N44" si="32">TEXT(H44, "DD-MMM-YYY")</f>
        <v>05-Sept-1995</v>
      </c>
      <c r="O44" s="6" t="s">
        <v>3877</v>
      </c>
    </row>
    <row r="45" spans="1:15" x14ac:dyDescent="0.35">
      <c r="A45" s="3" t="s">
        <v>274</v>
      </c>
      <c r="B45" s="3" t="s">
        <v>32</v>
      </c>
      <c r="C45" s="3" t="s">
        <v>124</v>
      </c>
      <c r="D45" s="3" t="s">
        <v>34</v>
      </c>
      <c r="E45" s="3" t="s">
        <v>35</v>
      </c>
      <c r="F45" s="3" t="s">
        <v>275</v>
      </c>
      <c r="G45" s="3" t="s">
        <v>276</v>
      </c>
      <c r="H45" s="4">
        <v>35379</v>
      </c>
      <c r="I45" s="6" t="s">
        <v>2216</v>
      </c>
      <c r="J45" s="6" t="s">
        <v>1603</v>
      </c>
      <c r="K45" s="6" t="s">
        <v>2591</v>
      </c>
      <c r="L45" s="6" t="s">
        <v>3181</v>
      </c>
      <c r="M45" s="9" t="s">
        <v>3316</v>
      </c>
      <c r="N45" s="5" t="str">
        <f t="shared" ref="N45" si="33">TEXT(H45,"DD-MMM-YYY")</f>
        <v>10-Nov-1996</v>
      </c>
      <c r="O45" s="6" t="s">
        <v>3878</v>
      </c>
    </row>
    <row r="46" spans="1:15" x14ac:dyDescent="0.35">
      <c r="A46" s="3" t="s">
        <v>277</v>
      </c>
      <c r="B46" s="3" t="s">
        <v>46</v>
      </c>
      <c r="C46" s="3" t="s">
        <v>131</v>
      </c>
      <c r="D46" s="3" t="s">
        <v>48</v>
      </c>
      <c r="E46" s="3" t="s">
        <v>49</v>
      </c>
      <c r="F46" s="3" t="s">
        <v>278</v>
      </c>
      <c r="G46" s="3" t="s">
        <v>279</v>
      </c>
      <c r="H46" s="4">
        <v>35445</v>
      </c>
      <c r="I46" s="6" t="s">
        <v>2217</v>
      </c>
      <c r="J46" s="6" t="s">
        <v>2407</v>
      </c>
      <c r="K46" s="6" t="s">
        <v>2592</v>
      </c>
      <c r="L46" s="6" t="s">
        <v>3182</v>
      </c>
      <c r="M46" s="9" t="s">
        <v>3317</v>
      </c>
      <c r="N46" s="5" t="str">
        <f t="shared" ref="N46" si="34">TEXT(H46, "DD-MMM-YYY")</f>
        <v>15-Jan-1997</v>
      </c>
      <c r="O46" s="6" t="s">
        <v>3879</v>
      </c>
    </row>
    <row r="47" spans="1:15" x14ac:dyDescent="0.35">
      <c r="A47" s="3" t="s">
        <v>280</v>
      </c>
      <c r="B47" s="3" t="s">
        <v>60</v>
      </c>
      <c r="C47" s="3" t="s">
        <v>137</v>
      </c>
      <c r="D47" s="3" t="s">
        <v>62</v>
      </c>
      <c r="E47" s="3" t="s">
        <v>63</v>
      </c>
      <c r="F47" s="3" t="s">
        <v>281</v>
      </c>
      <c r="G47" s="3" t="s">
        <v>282</v>
      </c>
      <c r="H47" s="4">
        <v>35874</v>
      </c>
      <c r="I47" s="6" t="s">
        <v>2218</v>
      </c>
      <c r="J47" s="6" t="s">
        <v>2408</v>
      </c>
      <c r="K47" s="6" t="s">
        <v>2593</v>
      </c>
      <c r="L47" s="6" t="s">
        <v>3183</v>
      </c>
      <c r="M47" s="9" t="s">
        <v>3318</v>
      </c>
      <c r="N47" s="5" t="str">
        <f t="shared" ref="N47" si="35">TEXT(H47,"DD-MMM-YYY")</f>
        <v>20-Mar-1998</v>
      </c>
      <c r="O47" s="6" t="s">
        <v>3880</v>
      </c>
    </row>
    <row r="48" spans="1:15" x14ac:dyDescent="0.35">
      <c r="A48" s="3" t="s">
        <v>283</v>
      </c>
      <c r="B48" s="3" t="s">
        <v>74</v>
      </c>
      <c r="C48" s="3" t="s">
        <v>144</v>
      </c>
      <c r="D48" s="3" t="s">
        <v>76</v>
      </c>
      <c r="E48" s="3" t="s">
        <v>77</v>
      </c>
      <c r="F48" s="3" t="s">
        <v>284</v>
      </c>
      <c r="G48" s="3" t="s">
        <v>285</v>
      </c>
      <c r="H48" s="4">
        <v>36305</v>
      </c>
      <c r="I48" s="6" t="s">
        <v>2219</v>
      </c>
      <c r="J48" s="6" t="s">
        <v>2409</v>
      </c>
      <c r="K48" s="6" t="s">
        <v>2594</v>
      </c>
      <c r="L48" s="6" t="s">
        <v>3184</v>
      </c>
      <c r="M48" s="9" t="s">
        <v>3319</v>
      </c>
      <c r="N48" s="5" t="str">
        <f t="shared" ref="N48" si="36">TEXT(H48, "DD-MMM-YYY")</f>
        <v>25-May-1999</v>
      </c>
      <c r="O48" s="6" t="s">
        <v>3881</v>
      </c>
    </row>
    <row r="49" spans="1:15" x14ac:dyDescent="0.35">
      <c r="A49" s="3" t="s">
        <v>286</v>
      </c>
      <c r="B49" s="3" t="s">
        <v>88</v>
      </c>
      <c r="C49" s="3" t="s">
        <v>151</v>
      </c>
      <c r="D49" s="3" t="s">
        <v>90</v>
      </c>
      <c r="E49" s="3" t="s">
        <v>91</v>
      </c>
      <c r="F49" s="3" t="s">
        <v>287</v>
      </c>
      <c r="G49" s="3" t="s">
        <v>288</v>
      </c>
      <c r="H49" s="4">
        <v>31230</v>
      </c>
      <c r="I49" s="6" t="s">
        <v>2220</v>
      </c>
      <c r="J49" s="6" t="s">
        <v>2410</v>
      </c>
      <c r="K49" s="6" t="s">
        <v>2595</v>
      </c>
      <c r="L49" s="6" t="s">
        <v>3185</v>
      </c>
      <c r="M49" s="9" t="s">
        <v>3320</v>
      </c>
      <c r="N49" s="5" t="str">
        <f t="shared" ref="N49" si="37">TEXT(H49,"DD-MMM-YYY")</f>
        <v>02-Jul-1985</v>
      </c>
      <c r="O49" s="6" t="s">
        <v>3882</v>
      </c>
    </row>
    <row r="50" spans="1:15" x14ac:dyDescent="0.35">
      <c r="A50" s="3" t="s">
        <v>289</v>
      </c>
      <c r="B50" s="3" t="s">
        <v>102</v>
      </c>
      <c r="C50" s="3" t="s">
        <v>158</v>
      </c>
      <c r="D50" s="3" t="s">
        <v>104</v>
      </c>
      <c r="E50" s="3" t="s">
        <v>105</v>
      </c>
      <c r="F50" s="3" t="s">
        <v>290</v>
      </c>
      <c r="G50" s="3" t="s">
        <v>291</v>
      </c>
      <c r="H50" s="4">
        <v>31662</v>
      </c>
      <c r="I50" s="6" t="s">
        <v>2221</v>
      </c>
      <c r="J50" s="6" t="s">
        <v>2411</v>
      </c>
      <c r="K50" s="6" t="s">
        <v>2596</v>
      </c>
      <c r="L50" s="6" t="s">
        <v>3186</v>
      </c>
      <c r="M50" s="9" t="s">
        <v>3321</v>
      </c>
      <c r="N50" s="5" t="str">
        <f t="shared" ref="N50" si="38">TEXT(H50, "DD-MMM-YYY")</f>
        <v>07-Sept-1986</v>
      </c>
      <c r="O50" s="6" t="s">
        <v>3883</v>
      </c>
    </row>
    <row r="51" spans="1:15" x14ac:dyDescent="0.35">
      <c r="A51" s="3" t="s">
        <v>292</v>
      </c>
      <c r="B51" s="3" t="s">
        <v>109</v>
      </c>
      <c r="C51" s="3" t="s">
        <v>164</v>
      </c>
      <c r="D51" s="3" t="s">
        <v>111</v>
      </c>
      <c r="E51" s="3" t="s">
        <v>112</v>
      </c>
      <c r="F51" s="3" t="s">
        <v>293</v>
      </c>
      <c r="G51" s="3" t="s">
        <v>294</v>
      </c>
      <c r="H51" s="4">
        <v>32093</v>
      </c>
      <c r="I51" s="6" t="s">
        <v>2222</v>
      </c>
      <c r="J51" s="6" t="s">
        <v>2412</v>
      </c>
      <c r="K51" s="6" t="s">
        <v>2597</v>
      </c>
      <c r="L51" s="6" t="s">
        <v>3187</v>
      </c>
      <c r="M51" s="9" t="s">
        <v>3322</v>
      </c>
      <c r="N51" s="5" t="str">
        <f t="shared" ref="N51" si="39">TEXT(H51,"DD-MMM-YYY")</f>
        <v>12-Nov-1987</v>
      </c>
      <c r="O51" s="6" t="s">
        <v>3884</v>
      </c>
    </row>
    <row r="52" spans="1:15" x14ac:dyDescent="0.35">
      <c r="A52" s="3" t="s">
        <v>295</v>
      </c>
      <c r="B52" s="3" t="s">
        <v>116</v>
      </c>
      <c r="C52" s="3" t="s">
        <v>19</v>
      </c>
      <c r="D52" s="3" t="s">
        <v>118</v>
      </c>
      <c r="E52" s="3" t="s">
        <v>119</v>
      </c>
      <c r="F52" s="3" t="s">
        <v>296</v>
      </c>
      <c r="G52" s="3" t="s">
        <v>297</v>
      </c>
      <c r="H52" s="4">
        <v>32159</v>
      </c>
      <c r="I52" s="6" t="s">
        <v>2223</v>
      </c>
      <c r="J52" s="6" t="s">
        <v>2413</v>
      </c>
      <c r="K52" s="6" t="s">
        <v>2598</v>
      </c>
      <c r="L52" s="6" t="s">
        <v>3188</v>
      </c>
      <c r="M52" s="9" t="s">
        <v>3323</v>
      </c>
      <c r="N52" s="5" t="str">
        <f t="shared" ref="N52" si="40">TEXT(H52, "DD-MMM-YYY")</f>
        <v>17-Jan-1988</v>
      </c>
      <c r="O52" s="6" t="s">
        <v>30</v>
      </c>
    </row>
    <row r="53" spans="1:15" x14ac:dyDescent="0.35">
      <c r="A53" s="3" t="s">
        <v>298</v>
      </c>
      <c r="B53" s="3" t="s">
        <v>123</v>
      </c>
      <c r="C53" s="3" t="s">
        <v>33</v>
      </c>
      <c r="D53" s="3" t="s">
        <v>125</v>
      </c>
      <c r="E53" s="3" t="s">
        <v>126</v>
      </c>
      <c r="F53" s="3" t="s">
        <v>299</v>
      </c>
      <c r="G53" s="3" t="s">
        <v>300</v>
      </c>
      <c r="H53" s="4">
        <v>32589</v>
      </c>
      <c r="I53" s="6" t="s">
        <v>2224</v>
      </c>
      <c r="J53" s="6" t="s">
        <v>2414</v>
      </c>
      <c r="K53" s="6" t="s">
        <v>2599</v>
      </c>
      <c r="L53" s="6" t="s">
        <v>3189</v>
      </c>
      <c r="M53" s="9" t="s">
        <v>3324</v>
      </c>
      <c r="N53" s="5" t="str">
        <f t="shared" ref="N53" si="41">TEXT(H53,"DD-MMM-YYY")</f>
        <v>22-Mar-1989</v>
      </c>
      <c r="O53" s="6" t="s">
        <v>44</v>
      </c>
    </row>
    <row r="54" spans="1:15" x14ac:dyDescent="0.35">
      <c r="A54" s="3" t="s">
        <v>17</v>
      </c>
      <c r="B54" s="3" t="s">
        <v>130</v>
      </c>
      <c r="C54" s="3" t="s">
        <v>47</v>
      </c>
      <c r="D54" s="3" t="s">
        <v>132</v>
      </c>
      <c r="E54" s="3" t="s">
        <v>126</v>
      </c>
      <c r="F54" s="3" t="s">
        <v>301</v>
      </c>
      <c r="G54" s="3" t="s">
        <v>302</v>
      </c>
      <c r="H54" s="4">
        <v>33020</v>
      </c>
      <c r="I54" s="6" t="s">
        <v>2225</v>
      </c>
      <c r="J54" s="6" t="s">
        <v>2415</v>
      </c>
      <c r="K54" s="6" t="s">
        <v>2600</v>
      </c>
      <c r="L54" s="6" t="s">
        <v>3190</v>
      </c>
      <c r="M54" s="9" t="s">
        <v>3325</v>
      </c>
      <c r="N54" s="5" t="str">
        <f t="shared" ref="N54" si="42">TEXT(H54, "DD-MMM-YYY")</f>
        <v>27-May-1990</v>
      </c>
      <c r="O54" s="6" t="s">
        <v>58</v>
      </c>
    </row>
    <row r="55" spans="1:15" x14ac:dyDescent="0.35">
      <c r="A55" s="3" t="s">
        <v>31</v>
      </c>
      <c r="B55" s="3" t="s">
        <v>136</v>
      </c>
      <c r="C55" s="3" t="s">
        <v>61</v>
      </c>
      <c r="D55" s="3" t="s">
        <v>138</v>
      </c>
      <c r="E55" s="3" t="s">
        <v>139</v>
      </c>
      <c r="F55" s="3" t="s">
        <v>303</v>
      </c>
      <c r="G55" s="3" t="s">
        <v>304</v>
      </c>
      <c r="H55" s="4">
        <v>33423</v>
      </c>
      <c r="I55" s="6" t="s">
        <v>2226</v>
      </c>
      <c r="J55" s="6" t="s">
        <v>1508</v>
      </c>
      <c r="K55" s="6" t="s">
        <v>2601</v>
      </c>
      <c r="L55" s="6" t="s">
        <v>3191</v>
      </c>
      <c r="M55" s="9" t="s">
        <v>3326</v>
      </c>
      <c r="N55" s="5" t="str">
        <f t="shared" ref="N55" si="43">TEXT(H55,"DD-MMM-YYY")</f>
        <v>04-Jul-1991</v>
      </c>
      <c r="O55" s="6" t="s">
        <v>72</v>
      </c>
    </row>
    <row r="56" spans="1:15" x14ac:dyDescent="0.35">
      <c r="A56" s="3" t="s">
        <v>45</v>
      </c>
      <c r="B56" s="3" t="s">
        <v>143</v>
      </c>
      <c r="C56" s="3" t="s">
        <v>75</v>
      </c>
      <c r="D56" s="3" t="s">
        <v>145</v>
      </c>
      <c r="E56" s="3" t="s">
        <v>146</v>
      </c>
      <c r="F56" s="3" t="s">
        <v>305</v>
      </c>
      <c r="G56" s="3" t="s">
        <v>306</v>
      </c>
      <c r="H56" s="4">
        <v>33856</v>
      </c>
      <c r="I56" s="6" t="s">
        <v>2227</v>
      </c>
      <c r="J56" s="6" t="s">
        <v>2416</v>
      </c>
      <c r="K56" s="6" t="s">
        <v>2602</v>
      </c>
      <c r="L56" s="6" t="s">
        <v>3192</v>
      </c>
      <c r="M56" s="9" t="s">
        <v>3327</v>
      </c>
      <c r="N56" s="5" t="str">
        <f t="shared" ref="N56" si="44">TEXT(H56, "DD-MMM-YYY")</f>
        <v>09-Sept-1992</v>
      </c>
      <c r="O56" s="6" t="s">
        <v>86</v>
      </c>
    </row>
    <row r="57" spans="1:15" x14ac:dyDescent="0.35">
      <c r="A57" s="3" t="s">
        <v>59</v>
      </c>
      <c r="B57" s="3" t="s">
        <v>150</v>
      </c>
      <c r="C57" s="3" t="s">
        <v>89</v>
      </c>
      <c r="D57" s="3" t="s">
        <v>152</v>
      </c>
      <c r="E57" s="3" t="s">
        <v>153</v>
      </c>
      <c r="F57" s="3" t="s">
        <v>307</v>
      </c>
      <c r="G57" s="3" t="s">
        <v>308</v>
      </c>
      <c r="H57" s="4">
        <v>34287</v>
      </c>
      <c r="I57" s="6" t="s">
        <v>2228</v>
      </c>
      <c r="J57" s="6" t="s">
        <v>2417</v>
      </c>
      <c r="K57" s="6" t="s">
        <v>2603</v>
      </c>
      <c r="L57" s="6" t="s">
        <v>3156</v>
      </c>
      <c r="M57" s="9" t="s">
        <v>3328</v>
      </c>
      <c r="N57" s="5" t="str">
        <f t="shared" ref="N57" si="45">TEXT(H57,"DD-MMM-YYY")</f>
        <v>14-Nov-1993</v>
      </c>
      <c r="O57" s="6" t="s">
        <v>100</v>
      </c>
    </row>
    <row r="58" spans="1:15" x14ac:dyDescent="0.35">
      <c r="A58" s="3" t="s">
        <v>73</v>
      </c>
      <c r="B58" s="3" t="s">
        <v>157</v>
      </c>
      <c r="C58" s="3" t="s">
        <v>103</v>
      </c>
      <c r="D58" s="3" t="s">
        <v>159</v>
      </c>
      <c r="E58" s="3" t="s">
        <v>77</v>
      </c>
      <c r="F58" s="3" t="s">
        <v>309</v>
      </c>
      <c r="G58" s="3" t="s">
        <v>310</v>
      </c>
      <c r="H58" s="4">
        <v>34353</v>
      </c>
      <c r="I58" s="6" t="s">
        <v>2229</v>
      </c>
      <c r="J58" s="6" t="s">
        <v>2418</v>
      </c>
      <c r="K58" s="6" t="s">
        <v>2604</v>
      </c>
      <c r="L58" s="6" t="s">
        <v>3193</v>
      </c>
      <c r="M58" s="9" t="s">
        <v>3329</v>
      </c>
      <c r="N58" s="5" t="str">
        <f t="shared" ref="N58" si="46">TEXT(H58, "DD-MMM-YYY")</f>
        <v>19-Jan-1994</v>
      </c>
      <c r="O58" s="6" t="s">
        <v>3875</v>
      </c>
    </row>
    <row r="59" spans="1:15" x14ac:dyDescent="0.35">
      <c r="A59" s="3" t="s">
        <v>87</v>
      </c>
      <c r="B59" s="3" t="s">
        <v>163</v>
      </c>
      <c r="C59" s="3" t="s">
        <v>110</v>
      </c>
      <c r="D59" s="3" t="s">
        <v>165</v>
      </c>
      <c r="E59" s="3" t="s">
        <v>166</v>
      </c>
      <c r="F59" s="3" t="s">
        <v>311</v>
      </c>
      <c r="G59" s="3" t="s">
        <v>312</v>
      </c>
      <c r="H59" s="4">
        <v>34782</v>
      </c>
      <c r="I59" s="6" t="s">
        <v>2230</v>
      </c>
      <c r="J59" s="6" t="s">
        <v>2419</v>
      </c>
      <c r="K59" s="6" t="s">
        <v>2605</v>
      </c>
      <c r="L59" s="6" t="s">
        <v>3194</v>
      </c>
      <c r="M59" s="9" t="s">
        <v>3330</v>
      </c>
      <c r="N59" s="5" t="str">
        <f t="shared" ref="N59" si="47">TEXT(H59,"DD-MMM-YYY")</f>
        <v>24-Mar-1995</v>
      </c>
      <c r="O59" s="6" t="s">
        <v>3876</v>
      </c>
    </row>
    <row r="60" spans="1:15" x14ac:dyDescent="0.35">
      <c r="A60" s="3" t="s">
        <v>101</v>
      </c>
      <c r="B60" s="3" t="s">
        <v>170</v>
      </c>
      <c r="C60" s="3" t="s">
        <v>117</v>
      </c>
      <c r="D60" s="3" t="s">
        <v>171</v>
      </c>
      <c r="E60" s="3" t="s">
        <v>172</v>
      </c>
      <c r="F60" s="3" t="s">
        <v>313</v>
      </c>
      <c r="G60" s="3" t="s">
        <v>314</v>
      </c>
      <c r="H60" s="4">
        <v>35186</v>
      </c>
      <c r="I60" s="6" t="s">
        <v>2231</v>
      </c>
      <c r="J60" s="6" t="s">
        <v>2420</v>
      </c>
      <c r="K60" s="6" t="s">
        <v>2606</v>
      </c>
      <c r="L60" s="6" t="s">
        <v>3195</v>
      </c>
      <c r="M60" s="9" t="s">
        <v>3331</v>
      </c>
      <c r="N60" s="5" t="str">
        <f t="shared" ref="N60" si="48">TEXT(H60, "DD-MMM-YYY")</f>
        <v>01-May-1996</v>
      </c>
      <c r="O60" s="6" t="s">
        <v>3877</v>
      </c>
    </row>
    <row r="61" spans="1:15" x14ac:dyDescent="0.35">
      <c r="A61" s="3" t="s">
        <v>108</v>
      </c>
      <c r="B61" s="3" t="s">
        <v>176</v>
      </c>
      <c r="C61" s="3" t="s">
        <v>124</v>
      </c>
      <c r="D61" s="3" t="s">
        <v>162</v>
      </c>
      <c r="E61" s="3" t="s">
        <v>63</v>
      </c>
      <c r="F61" s="3" t="s">
        <v>315</v>
      </c>
      <c r="G61" s="3" t="s">
        <v>316</v>
      </c>
      <c r="H61" s="4">
        <v>35617</v>
      </c>
      <c r="I61" s="6" t="s">
        <v>2232</v>
      </c>
      <c r="J61" s="6" t="s">
        <v>2421</v>
      </c>
      <c r="K61" s="6" t="s">
        <v>2607</v>
      </c>
      <c r="L61" s="6" t="s">
        <v>153</v>
      </c>
      <c r="M61" s="9" t="s">
        <v>3332</v>
      </c>
      <c r="N61" s="5" t="str">
        <f t="shared" ref="N61" si="49">TEXT(H61,"DD-MMM-YYY")</f>
        <v>06-Jul-1997</v>
      </c>
      <c r="O61" s="6" t="s">
        <v>3878</v>
      </c>
    </row>
    <row r="62" spans="1:15" x14ac:dyDescent="0.35">
      <c r="A62" s="3" t="s">
        <v>115</v>
      </c>
      <c r="B62" s="3" t="s">
        <v>180</v>
      </c>
      <c r="C62" s="3" t="s">
        <v>131</v>
      </c>
      <c r="D62" s="3" t="s">
        <v>181</v>
      </c>
      <c r="E62" s="3" t="s">
        <v>182</v>
      </c>
      <c r="F62" s="3" t="s">
        <v>317</v>
      </c>
      <c r="G62" s="3" t="s">
        <v>318</v>
      </c>
      <c r="H62" s="4">
        <v>36049</v>
      </c>
      <c r="I62" s="6" t="s">
        <v>2233</v>
      </c>
      <c r="J62" s="6" t="s">
        <v>2422</v>
      </c>
      <c r="K62" s="6" t="s">
        <v>2608</v>
      </c>
      <c r="L62" s="6" t="s">
        <v>3196</v>
      </c>
      <c r="M62" s="9" t="s">
        <v>3333</v>
      </c>
      <c r="N62" s="5" t="str">
        <f t="shared" ref="N62" si="50">TEXT(H62, "DD-MMM-YYY")</f>
        <v>11-Sept-1998</v>
      </c>
      <c r="O62" s="6" t="s">
        <v>3879</v>
      </c>
    </row>
    <row r="63" spans="1:15" x14ac:dyDescent="0.35">
      <c r="A63" s="3" t="s">
        <v>122</v>
      </c>
      <c r="B63" s="3" t="s">
        <v>186</v>
      </c>
      <c r="C63" s="3" t="s">
        <v>137</v>
      </c>
      <c r="D63" s="3" t="s">
        <v>187</v>
      </c>
      <c r="E63" s="3" t="s">
        <v>188</v>
      </c>
      <c r="F63" s="3" t="s">
        <v>319</v>
      </c>
      <c r="G63" s="3" t="s">
        <v>320</v>
      </c>
      <c r="H63" s="4">
        <v>36480</v>
      </c>
      <c r="I63" s="6" t="s">
        <v>2234</v>
      </c>
      <c r="J63" s="6" t="s">
        <v>2423</v>
      </c>
      <c r="K63" s="6" t="s">
        <v>2609</v>
      </c>
      <c r="L63" s="6" t="s">
        <v>3197</v>
      </c>
      <c r="M63" s="9" t="s">
        <v>3334</v>
      </c>
      <c r="N63" s="5" t="str">
        <f t="shared" ref="N63" si="51">TEXT(H63,"DD-MMM-YYY")</f>
        <v>16-Nov-1999</v>
      </c>
      <c r="O63" s="6" t="s">
        <v>3880</v>
      </c>
    </row>
    <row r="64" spans="1:15" x14ac:dyDescent="0.35">
      <c r="A64" s="3" t="s">
        <v>129</v>
      </c>
      <c r="B64" s="3" t="s">
        <v>192</v>
      </c>
      <c r="C64" s="3" t="s">
        <v>144</v>
      </c>
      <c r="D64" s="3" t="s">
        <v>20</v>
      </c>
      <c r="E64" s="3" t="s">
        <v>21</v>
      </c>
      <c r="F64" s="3" t="s">
        <v>321</v>
      </c>
      <c r="G64" s="3" t="s">
        <v>322</v>
      </c>
      <c r="H64" s="4">
        <v>31068</v>
      </c>
      <c r="I64" s="6" t="s">
        <v>2235</v>
      </c>
      <c r="J64" s="6" t="s">
        <v>2424</v>
      </c>
      <c r="K64" s="6" t="s">
        <v>2610</v>
      </c>
      <c r="L64" s="6" t="s">
        <v>3164</v>
      </c>
      <c r="M64" s="9" t="s">
        <v>3335</v>
      </c>
      <c r="N64" s="5" t="str">
        <f t="shared" ref="N64" si="52">TEXT(H64, "DD-MMM-YYY")</f>
        <v>21-Jan-1985</v>
      </c>
      <c r="O64" s="6" t="s">
        <v>3881</v>
      </c>
    </row>
    <row r="65" spans="1:15" x14ac:dyDescent="0.35">
      <c r="A65" s="3" t="s">
        <v>135</v>
      </c>
      <c r="B65" s="3" t="s">
        <v>196</v>
      </c>
      <c r="C65" s="3" t="s">
        <v>151</v>
      </c>
      <c r="D65" s="3" t="s">
        <v>34</v>
      </c>
      <c r="E65" s="3" t="s">
        <v>35</v>
      </c>
      <c r="F65" s="3" t="s">
        <v>323</v>
      </c>
      <c r="G65" s="3" t="s">
        <v>324</v>
      </c>
      <c r="H65" s="4">
        <v>31497</v>
      </c>
      <c r="I65" s="6" t="s">
        <v>2236</v>
      </c>
      <c r="J65" s="6" t="s">
        <v>1663</v>
      </c>
      <c r="K65" s="6" t="s">
        <v>2611</v>
      </c>
      <c r="L65" s="6" t="s">
        <v>3198</v>
      </c>
      <c r="M65" s="9" t="s">
        <v>3336</v>
      </c>
      <c r="N65" s="5" t="str">
        <f t="shared" ref="N65" si="53">TEXT(H65,"DD-MMM-YYY")</f>
        <v>26-Mar-1986</v>
      </c>
      <c r="O65" s="6" t="s">
        <v>3882</v>
      </c>
    </row>
    <row r="66" spans="1:15" x14ac:dyDescent="0.35">
      <c r="A66" s="3" t="s">
        <v>142</v>
      </c>
      <c r="B66" s="3" t="s">
        <v>200</v>
      </c>
      <c r="C66" s="3" t="s">
        <v>158</v>
      </c>
      <c r="D66" s="3" t="s">
        <v>48</v>
      </c>
      <c r="E66" s="3" t="s">
        <v>49</v>
      </c>
      <c r="F66" s="3" t="s">
        <v>325</v>
      </c>
      <c r="G66" s="3" t="s">
        <v>326</v>
      </c>
      <c r="H66" s="4">
        <v>31900</v>
      </c>
      <c r="I66" s="6" t="s">
        <v>2237</v>
      </c>
      <c r="J66" s="6" t="s">
        <v>2425</v>
      </c>
      <c r="K66" s="6" t="s">
        <v>2612</v>
      </c>
      <c r="L66" s="6" t="s">
        <v>3199</v>
      </c>
      <c r="M66" s="9" t="s">
        <v>3337</v>
      </c>
      <c r="N66" s="5" t="str">
        <f t="shared" ref="N66" si="54">TEXT(H66, "DD-MMM-YYY")</f>
        <v>03-May-1987</v>
      </c>
      <c r="O66" s="6" t="s">
        <v>3883</v>
      </c>
    </row>
    <row r="67" spans="1:15" x14ac:dyDescent="0.35">
      <c r="A67" s="3" t="s">
        <v>149</v>
      </c>
      <c r="B67" s="3" t="s">
        <v>204</v>
      </c>
      <c r="C67" s="3" t="s">
        <v>164</v>
      </c>
      <c r="D67" s="3" t="s">
        <v>62</v>
      </c>
      <c r="E67" s="3" t="s">
        <v>63</v>
      </c>
      <c r="F67" s="3" t="s">
        <v>327</v>
      </c>
      <c r="G67" s="3" t="s">
        <v>328</v>
      </c>
      <c r="H67" s="4">
        <v>32332</v>
      </c>
      <c r="I67" s="6" t="s">
        <v>2238</v>
      </c>
      <c r="J67" s="6" t="s">
        <v>2426</v>
      </c>
      <c r="K67" s="6" t="s">
        <v>2613</v>
      </c>
      <c r="L67" s="6" t="s">
        <v>3200</v>
      </c>
      <c r="M67" s="9" t="s">
        <v>3338</v>
      </c>
      <c r="N67" s="5" t="str">
        <f t="shared" ref="N67" si="55">TEXT(H67,"DD-MMM-YYY")</f>
        <v>08-Jul-1988</v>
      </c>
      <c r="O67" s="6" t="s">
        <v>3884</v>
      </c>
    </row>
    <row r="68" spans="1:15" x14ac:dyDescent="0.35">
      <c r="A68" s="3" t="s">
        <v>156</v>
      </c>
      <c r="B68" s="3" t="s">
        <v>208</v>
      </c>
      <c r="C68" s="3" t="s">
        <v>19</v>
      </c>
      <c r="D68" s="3" t="s">
        <v>76</v>
      </c>
      <c r="E68" s="3" t="s">
        <v>77</v>
      </c>
      <c r="F68" s="3" t="s">
        <v>329</v>
      </c>
      <c r="G68" s="3" t="s">
        <v>330</v>
      </c>
      <c r="H68" s="4">
        <v>32764</v>
      </c>
      <c r="I68" s="6" t="s">
        <v>2239</v>
      </c>
      <c r="J68" s="6" t="s">
        <v>2427</v>
      </c>
      <c r="K68" s="6" t="s">
        <v>2614</v>
      </c>
      <c r="L68" s="6" t="s">
        <v>3201</v>
      </c>
      <c r="M68" s="9" t="s">
        <v>3339</v>
      </c>
      <c r="N68" s="5" t="str">
        <f t="shared" ref="N68" si="56">TEXT(H68, "DD-MMM-YYY")</f>
        <v>13-Sept-1989</v>
      </c>
      <c r="O68" s="6" t="s">
        <v>30</v>
      </c>
    </row>
    <row r="69" spans="1:15" x14ac:dyDescent="0.35">
      <c r="A69" s="3" t="s">
        <v>162</v>
      </c>
      <c r="B69" s="3" t="s">
        <v>212</v>
      </c>
      <c r="C69" s="3" t="s">
        <v>33</v>
      </c>
      <c r="D69" s="3" t="s">
        <v>90</v>
      </c>
      <c r="E69" s="3" t="s">
        <v>91</v>
      </c>
      <c r="F69" s="3" t="s">
        <v>331</v>
      </c>
      <c r="G69" s="3" t="s">
        <v>332</v>
      </c>
      <c r="H69" s="4">
        <v>33195</v>
      </c>
      <c r="I69" s="6" t="s">
        <v>2240</v>
      </c>
      <c r="J69" s="6" t="s">
        <v>2428</v>
      </c>
      <c r="K69" s="6" t="s">
        <v>2615</v>
      </c>
      <c r="L69" s="6" t="s">
        <v>3202</v>
      </c>
      <c r="M69" s="9" t="s">
        <v>3340</v>
      </c>
      <c r="N69" s="5" t="str">
        <f t="shared" ref="N69" si="57">TEXT(H69,"DD-MMM-YYY")</f>
        <v>18-Nov-1990</v>
      </c>
      <c r="O69" s="6" t="s">
        <v>44</v>
      </c>
    </row>
    <row r="70" spans="1:15" x14ac:dyDescent="0.35">
      <c r="A70" s="3" t="s">
        <v>169</v>
      </c>
      <c r="B70" s="3" t="s">
        <v>216</v>
      </c>
      <c r="C70" s="3" t="s">
        <v>47</v>
      </c>
      <c r="D70" s="3" t="s">
        <v>104</v>
      </c>
      <c r="E70" s="3" t="s">
        <v>105</v>
      </c>
      <c r="F70" s="3" t="s">
        <v>333</v>
      </c>
      <c r="G70" s="3" t="s">
        <v>334</v>
      </c>
      <c r="H70" s="4">
        <v>33261</v>
      </c>
      <c r="I70" s="6" t="s">
        <v>2241</v>
      </c>
      <c r="J70" s="6" t="s">
        <v>2429</v>
      </c>
      <c r="K70" s="6" t="s">
        <v>2616</v>
      </c>
      <c r="L70" s="6" t="s">
        <v>3203</v>
      </c>
      <c r="M70" s="9" t="s">
        <v>3341</v>
      </c>
      <c r="N70" s="5" t="str">
        <f t="shared" ref="N70" si="58">TEXT(H70, "DD-MMM-YYY")</f>
        <v>23-Jan-1991</v>
      </c>
      <c r="O70" s="6" t="s">
        <v>58</v>
      </c>
    </row>
    <row r="71" spans="1:15" x14ac:dyDescent="0.35">
      <c r="A71" s="3" t="s">
        <v>175</v>
      </c>
      <c r="B71" s="3" t="s">
        <v>220</v>
      </c>
      <c r="C71" s="3" t="s">
        <v>61</v>
      </c>
      <c r="D71" s="3" t="s">
        <v>111</v>
      </c>
      <c r="E71" s="3" t="s">
        <v>112</v>
      </c>
      <c r="F71" s="3" t="s">
        <v>335</v>
      </c>
      <c r="G71" s="3" t="s">
        <v>336</v>
      </c>
      <c r="H71" s="4">
        <v>33691</v>
      </c>
      <c r="I71" s="6" t="s">
        <v>2242</v>
      </c>
      <c r="J71" s="6" t="s">
        <v>2430</v>
      </c>
      <c r="K71" s="6" t="s">
        <v>2617</v>
      </c>
      <c r="L71" s="6" t="s">
        <v>3204</v>
      </c>
      <c r="M71" s="9" t="s">
        <v>3342</v>
      </c>
      <c r="N71" s="5" t="str">
        <f t="shared" ref="N71" si="59">TEXT(H71,"DD-MMM-YYY")</f>
        <v>28-Mar-1992</v>
      </c>
      <c r="O71" s="6" t="s">
        <v>72</v>
      </c>
    </row>
    <row r="72" spans="1:15" x14ac:dyDescent="0.35">
      <c r="A72" s="3" t="s">
        <v>179</v>
      </c>
      <c r="B72" s="3" t="s">
        <v>224</v>
      </c>
      <c r="C72" s="3" t="s">
        <v>75</v>
      </c>
      <c r="D72" s="3" t="s">
        <v>118</v>
      </c>
      <c r="E72" s="3" t="s">
        <v>119</v>
      </c>
      <c r="F72" s="3" t="s">
        <v>337</v>
      </c>
      <c r="G72" s="3" t="s">
        <v>338</v>
      </c>
      <c r="H72" s="4">
        <v>34094</v>
      </c>
      <c r="I72" s="6" t="s">
        <v>2243</v>
      </c>
      <c r="J72" s="6" t="s">
        <v>2431</v>
      </c>
      <c r="K72" s="6" t="s">
        <v>2618</v>
      </c>
      <c r="L72" s="6" t="s">
        <v>3205</v>
      </c>
      <c r="M72" s="9" t="s">
        <v>3343</v>
      </c>
      <c r="N72" s="5" t="str">
        <f t="shared" ref="N72" si="60">TEXT(H72, "DD-MMM-YYY")</f>
        <v>05-May-1993</v>
      </c>
      <c r="O72" s="6" t="s">
        <v>86</v>
      </c>
    </row>
    <row r="73" spans="1:15" x14ac:dyDescent="0.35">
      <c r="A73" s="3" t="s">
        <v>185</v>
      </c>
      <c r="B73" s="3" t="s">
        <v>228</v>
      </c>
      <c r="C73" s="3" t="s">
        <v>89</v>
      </c>
      <c r="D73" s="3" t="s">
        <v>125</v>
      </c>
      <c r="E73" s="3" t="s">
        <v>126</v>
      </c>
      <c r="F73" s="3" t="s">
        <v>339</v>
      </c>
      <c r="G73" s="3" t="s">
        <v>340</v>
      </c>
      <c r="H73" s="4">
        <v>34525</v>
      </c>
      <c r="I73" s="6" t="s">
        <v>2244</v>
      </c>
      <c r="J73" s="6" t="s">
        <v>2432</v>
      </c>
      <c r="K73" s="6" t="s">
        <v>2619</v>
      </c>
      <c r="L73" s="6" t="s">
        <v>3206</v>
      </c>
      <c r="M73" s="9" t="s">
        <v>3344</v>
      </c>
      <c r="N73" s="5" t="str">
        <f t="shared" ref="N73" si="61">TEXT(H73,"DD-MMM-YYY")</f>
        <v>10-Jul-1994</v>
      </c>
      <c r="O73" s="6" t="s">
        <v>100</v>
      </c>
    </row>
    <row r="74" spans="1:15" x14ac:dyDescent="0.35">
      <c r="A74" s="3" t="s">
        <v>191</v>
      </c>
      <c r="B74" s="3" t="s">
        <v>232</v>
      </c>
      <c r="C74" s="3" t="s">
        <v>103</v>
      </c>
      <c r="D74" s="3" t="s">
        <v>132</v>
      </c>
      <c r="E74" s="3" t="s">
        <v>126</v>
      </c>
      <c r="F74" s="3" t="s">
        <v>341</v>
      </c>
      <c r="G74" s="3" t="s">
        <v>342</v>
      </c>
      <c r="H74" s="4">
        <v>34957</v>
      </c>
      <c r="I74" s="6" t="s">
        <v>2245</v>
      </c>
      <c r="J74" s="6" t="s">
        <v>2433</v>
      </c>
      <c r="K74" s="6" t="s">
        <v>2620</v>
      </c>
      <c r="L74" s="6" t="s">
        <v>3170</v>
      </c>
      <c r="M74" s="9" t="s">
        <v>3345</v>
      </c>
      <c r="N74" s="5" t="str">
        <f t="shared" ref="N74" si="62">TEXT(H74, "DD-MMM-YYY")</f>
        <v>15-Sept-1995</v>
      </c>
      <c r="O74" s="6" t="s">
        <v>3875</v>
      </c>
    </row>
    <row r="75" spans="1:15" x14ac:dyDescent="0.35">
      <c r="A75" s="3" t="s">
        <v>195</v>
      </c>
      <c r="B75" s="3" t="s">
        <v>236</v>
      </c>
      <c r="C75" s="3" t="s">
        <v>110</v>
      </c>
      <c r="D75" s="3" t="s">
        <v>138</v>
      </c>
      <c r="E75" s="3" t="s">
        <v>139</v>
      </c>
      <c r="F75" s="3" t="s">
        <v>343</v>
      </c>
      <c r="G75" s="3" t="s">
        <v>344</v>
      </c>
      <c r="H75" s="4">
        <v>35389</v>
      </c>
      <c r="I75" s="6" t="s">
        <v>2246</v>
      </c>
      <c r="J75" s="6" t="s">
        <v>1593</v>
      </c>
      <c r="K75" s="6" t="s">
        <v>2621</v>
      </c>
      <c r="L75" s="6" t="s">
        <v>3171</v>
      </c>
      <c r="M75" s="9" t="s">
        <v>3346</v>
      </c>
      <c r="N75" s="5" t="str">
        <f t="shared" ref="N75" si="63">TEXT(H75,"DD-MMM-YYY")</f>
        <v>20-Nov-1996</v>
      </c>
      <c r="O75" s="6" t="s">
        <v>3876</v>
      </c>
    </row>
    <row r="76" spans="1:15" x14ac:dyDescent="0.35">
      <c r="A76" s="3" t="s">
        <v>199</v>
      </c>
      <c r="B76" s="3" t="s">
        <v>240</v>
      </c>
      <c r="C76" s="3" t="s">
        <v>117</v>
      </c>
      <c r="D76" s="3" t="s">
        <v>145</v>
      </c>
      <c r="E76" s="3" t="s">
        <v>146</v>
      </c>
      <c r="F76" s="3" t="s">
        <v>345</v>
      </c>
      <c r="G76" s="3" t="s">
        <v>346</v>
      </c>
      <c r="H76" s="4">
        <v>35455</v>
      </c>
      <c r="I76" s="6" t="s">
        <v>2247</v>
      </c>
      <c r="J76" s="6" t="s">
        <v>2434</v>
      </c>
      <c r="K76" s="6" t="s">
        <v>2622</v>
      </c>
      <c r="L76" s="6" t="s">
        <v>3207</v>
      </c>
      <c r="M76" s="9" t="s">
        <v>3347</v>
      </c>
      <c r="N76" s="5" t="str">
        <f t="shared" ref="N76" si="64">TEXT(H76, "DD-MMM-YYY")</f>
        <v>25-Jan-1997</v>
      </c>
      <c r="O76" s="6" t="s">
        <v>3877</v>
      </c>
    </row>
    <row r="77" spans="1:15" x14ac:dyDescent="0.35">
      <c r="A77" s="3" t="s">
        <v>203</v>
      </c>
      <c r="B77" s="3" t="s">
        <v>244</v>
      </c>
      <c r="C77" s="3" t="s">
        <v>124</v>
      </c>
      <c r="D77" s="3" t="s">
        <v>152</v>
      </c>
      <c r="E77" s="3" t="s">
        <v>153</v>
      </c>
      <c r="F77" s="3" t="s">
        <v>347</v>
      </c>
      <c r="G77" s="3" t="s">
        <v>348</v>
      </c>
      <c r="H77" s="4">
        <v>35856</v>
      </c>
      <c r="I77" s="6" t="s">
        <v>2248</v>
      </c>
      <c r="J77" s="6" t="s">
        <v>2435</v>
      </c>
      <c r="K77" s="6" t="s">
        <v>2623</v>
      </c>
      <c r="L77" s="6" t="s">
        <v>166</v>
      </c>
      <c r="M77" s="9" t="s">
        <v>3348</v>
      </c>
      <c r="N77" s="5" t="str">
        <f t="shared" ref="N77" si="65">TEXT(H77,"DD-MMM-YYY")</f>
        <v>02-Mar-1998</v>
      </c>
      <c r="O77" s="6" t="s">
        <v>3878</v>
      </c>
    </row>
    <row r="78" spans="1:15" x14ac:dyDescent="0.35">
      <c r="A78" s="3" t="s">
        <v>207</v>
      </c>
      <c r="B78" s="3" t="s">
        <v>248</v>
      </c>
      <c r="C78" s="3" t="s">
        <v>131</v>
      </c>
      <c r="D78" s="3" t="s">
        <v>159</v>
      </c>
      <c r="E78" s="3" t="s">
        <v>77</v>
      </c>
      <c r="F78" s="3" t="s">
        <v>349</v>
      </c>
      <c r="G78" s="3" t="s">
        <v>350</v>
      </c>
      <c r="H78" s="4">
        <v>36287</v>
      </c>
      <c r="I78" s="6" t="s">
        <v>2249</v>
      </c>
      <c r="J78" s="6" t="s">
        <v>2436</v>
      </c>
      <c r="K78" s="6" t="s">
        <v>2624</v>
      </c>
      <c r="L78" s="6" t="s">
        <v>3208</v>
      </c>
      <c r="M78" s="9" t="s">
        <v>3349</v>
      </c>
      <c r="N78" s="5" t="str">
        <f t="shared" ref="N78" si="66">TEXT(H78, "DD-MMM-YYY")</f>
        <v>07-May-1999</v>
      </c>
      <c r="O78" s="6" t="s">
        <v>3879</v>
      </c>
    </row>
    <row r="79" spans="1:15" x14ac:dyDescent="0.35">
      <c r="A79" s="3" t="s">
        <v>211</v>
      </c>
      <c r="B79" s="3" t="s">
        <v>252</v>
      </c>
      <c r="C79" s="3" t="s">
        <v>137</v>
      </c>
      <c r="D79" s="3" t="s">
        <v>165</v>
      </c>
      <c r="E79" s="3" t="s">
        <v>166</v>
      </c>
      <c r="F79" s="3" t="s">
        <v>351</v>
      </c>
      <c r="G79" s="3" t="s">
        <v>352</v>
      </c>
      <c r="H79" s="4">
        <v>31240</v>
      </c>
      <c r="I79" s="6" t="s">
        <v>2250</v>
      </c>
      <c r="J79" s="6" t="s">
        <v>2437</v>
      </c>
      <c r="K79" s="6" t="s">
        <v>2625</v>
      </c>
      <c r="L79" s="6" t="s">
        <v>3171</v>
      </c>
      <c r="M79" s="9" t="s">
        <v>3350</v>
      </c>
      <c r="N79" s="5" t="str">
        <f t="shared" ref="N79" si="67">TEXT(H79,"DD-MMM-YYY")</f>
        <v>12-Jul-1985</v>
      </c>
      <c r="O79" s="6" t="s">
        <v>3880</v>
      </c>
    </row>
    <row r="80" spans="1:15" x14ac:dyDescent="0.35">
      <c r="A80" s="3" t="s">
        <v>215</v>
      </c>
      <c r="B80" s="3" t="s">
        <v>256</v>
      </c>
      <c r="C80" s="3" t="s">
        <v>144</v>
      </c>
      <c r="D80" s="3" t="s">
        <v>171</v>
      </c>
      <c r="E80" s="3" t="s">
        <v>172</v>
      </c>
      <c r="F80" s="3" t="s">
        <v>353</v>
      </c>
      <c r="G80" s="3" t="s">
        <v>354</v>
      </c>
      <c r="H80" s="4">
        <v>31672</v>
      </c>
      <c r="I80" s="6" t="s">
        <v>2251</v>
      </c>
      <c r="J80" s="6" t="s">
        <v>2438</v>
      </c>
      <c r="K80" s="6" t="s">
        <v>2626</v>
      </c>
      <c r="L80" s="6" t="s">
        <v>3176</v>
      </c>
      <c r="M80" s="9" t="s">
        <v>3351</v>
      </c>
      <c r="N80" s="5" t="str">
        <f t="shared" ref="N80" si="68">TEXT(H80, "DD-MMM-YYY")</f>
        <v>17-Sept-1986</v>
      </c>
      <c r="O80" s="6" t="s">
        <v>3881</v>
      </c>
    </row>
    <row r="81" spans="1:15" x14ac:dyDescent="0.35">
      <c r="A81" s="3" t="s">
        <v>219</v>
      </c>
      <c r="B81" s="3" t="s">
        <v>260</v>
      </c>
      <c r="C81" s="3" t="s">
        <v>151</v>
      </c>
      <c r="D81" s="3" t="s">
        <v>162</v>
      </c>
      <c r="E81" s="3" t="s">
        <v>63</v>
      </c>
      <c r="F81" s="3" t="s">
        <v>355</v>
      </c>
      <c r="G81" s="3" t="s">
        <v>356</v>
      </c>
      <c r="H81" s="4">
        <v>32103</v>
      </c>
      <c r="I81" s="6" t="s">
        <v>2252</v>
      </c>
      <c r="J81" s="6" t="s">
        <v>2439</v>
      </c>
      <c r="K81" s="6" t="s">
        <v>2627</v>
      </c>
      <c r="L81" s="6" t="s">
        <v>3209</v>
      </c>
      <c r="M81" s="9" t="s">
        <v>3352</v>
      </c>
      <c r="N81" s="5" t="str">
        <f t="shared" ref="N81" si="69">TEXT(H81,"DD-MMM-YYY")</f>
        <v>22-Nov-1987</v>
      </c>
      <c r="O81" s="6" t="s">
        <v>3882</v>
      </c>
    </row>
    <row r="82" spans="1:15" x14ac:dyDescent="0.35">
      <c r="A82" s="3" t="s">
        <v>223</v>
      </c>
      <c r="B82" s="3" t="s">
        <v>264</v>
      </c>
      <c r="C82" s="3" t="s">
        <v>158</v>
      </c>
      <c r="D82" s="3" t="s">
        <v>181</v>
      </c>
      <c r="E82" s="3" t="s">
        <v>182</v>
      </c>
      <c r="F82" s="3" t="s">
        <v>357</v>
      </c>
      <c r="G82" s="3" t="s">
        <v>358</v>
      </c>
      <c r="H82" s="4">
        <v>32169</v>
      </c>
      <c r="I82" s="6" t="s">
        <v>2253</v>
      </c>
      <c r="J82" s="6" t="s">
        <v>2440</v>
      </c>
      <c r="K82" s="6" t="s">
        <v>2628</v>
      </c>
      <c r="L82" s="6" t="s">
        <v>3210</v>
      </c>
      <c r="M82" s="9" t="s">
        <v>3353</v>
      </c>
      <c r="N82" s="5" t="str">
        <f t="shared" ref="N82" si="70">TEXT(H82, "DD-MMM-YYY")</f>
        <v>27-Jan-1988</v>
      </c>
      <c r="O82" s="6" t="s">
        <v>3883</v>
      </c>
    </row>
    <row r="83" spans="1:15" x14ac:dyDescent="0.35">
      <c r="A83" s="3" t="s">
        <v>227</v>
      </c>
      <c r="B83" s="3" t="s">
        <v>268</v>
      </c>
      <c r="C83" s="3" t="s">
        <v>164</v>
      </c>
      <c r="D83" s="3" t="s">
        <v>187</v>
      </c>
      <c r="E83" s="3" t="s">
        <v>188</v>
      </c>
      <c r="F83" s="3" t="s">
        <v>359</v>
      </c>
      <c r="G83" s="3" t="s">
        <v>360</v>
      </c>
      <c r="H83" s="4">
        <v>32571</v>
      </c>
      <c r="I83" s="6" t="s">
        <v>2254</v>
      </c>
      <c r="J83" s="6" t="s">
        <v>2441</v>
      </c>
      <c r="K83" s="6" t="s">
        <v>2629</v>
      </c>
      <c r="L83" s="6" t="s">
        <v>3211</v>
      </c>
      <c r="M83" s="9" t="s">
        <v>3354</v>
      </c>
      <c r="N83" s="5" t="str">
        <f t="shared" ref="N83" si="71">TEXT(H83,"DD-MMM-YYY")</f>
        <v>04-Mar-1989</v>
      </c>
      <c r="O83" s="6" t="s">
        <v>3884</v>
      </c>
    </row>
    <row r="84" spans="1:15" x14ac:dyDescent="0.35">
      <c r="A84" s="3" t="s">
        <v>231</v>
      </c>
      <c r="B84" s="3" t="s">
        <v>18</v>
      </c>
      <c r="C84" s="3" t="s">
        <v>19</v>
      </c>
      <c r="D84" s="3" t="s">
        <v>20</v>
      </c>
      <c r="E84" s="3" t="s">
        <v>21</v>
      </c>
      <c r="F84" s="3" t="s">
        <v>361</v>
      </c>
      <c r="G84" s="3" t="s">
        <v>362</v>
      </c>
      <c r="H84" s="4">
        <v>33002</v>
      </c>
      <c r="I84" s="6" t="s">
        <v>2255</v>
      </c>
      <c r="J84" s="6" t="s">
        <v>2442</v>
      </c>
      <c r="K84" s="6" t="s">
        <v>2630</v>
      </c>
      <c r="L84" s="6" t="s">
        <v>27</v>
      </c>
      <c r="M84" s="9" t="s">
        <v>3355</v>
      </c>
      <c r="N84" s="5" t="str">
        <f t="shared" ref="N84" si="72">TEXT(H84, "DD-MMM-YYY")</f>
        <v>09-May-1990</v>
      </c>
      <c r="O84" s="6" t="s">
        <v>30</v>
      </c>
    </row>
    <row r="85" spans="1:15" x14ac:dyDescent="0.35">
      <c r="A85" s="3" t="s">
        <v>235</v>
      </c>
      <c r="B85" s="3" t="s">
        <v>32</v>
      </c>
      <c r="C85" s="3" t="s">
        <v>33</v>
      </c>
      <c r="D85" s="3" t="s">
        <v>34</v>
      </c>
      <c r="E85" s="3" t="s">
        <v>35</v>
      </c>
      <c r="F85" s="3" t="s">
        <v>363</v>
      </c>
      <c r="G85" s="3" t="s">
        <v>364</v>
      </c>
      <c r="H85" s="4">
        <v>33433</v>
      </c>
      <c r="I85" s="6" t="s">
        <v>2256</v>
      </c>
      <c r="J85" s="6" t="s">
        <v>1488</v>
      </c>
      <c r="K85" s="6" t="s">
        <v>2631</v>
      </c>
      <c r="L85" s="6" t="s">
        <v>3212</v>
      </c>
      <c r="M85" s="9" t="s">
        <v>3356</v>
      </c>
      <c r="N85" s="5" t="str">
        <f t="shared" ref="N85" si="73">TEXT(H85,"DD-MMM-YYY")</f>
        <v>14-Jul-1991</v>
      </c>
      <c r="O85" s="6" t="s">
        <v>44</v>
      </c>
    </row>
    <row r="86" spans="1:15" x14ac:dyDescent="0.35">
      <c r="A86" s="3" t="s">
        <v>239</v>
      </c>
      <c r="B86" s="3" t="s">
        <v>46</v>
      </c>
      <c r="C86" s="3" t="s">
        <v>47</v>
      </c>
      <c r="D86" s="3" t="s">
        <v>48</v>
      </c>
      <c r="E86" s="3" t="s">
        <v>49</v>
      </c>
      <c r="F86" s="3" t="s">
        <v>365</v>
      </c>
      <c r="G86" s="3" t="s">
        <v>366</v>
      </c>
      <c r="H86" s="4">
        <v>33866</v>
      </c>
      <c r="I86" s="6" t="s">
        <v>2257</v>
      </c>
      <c r="J86" s="6" t="s">
        <v>2443</v>
      </c>
      <c r="K86" s="6" t="s">
        <v>2632</v>
      </c>
      <c r="L86" s="6" t="s">
        <v>3213</v>
      </c>
      <c r="M86" s="9" t="s">
        <v>3357</v>
      </c>
      <c r="N86" s="5" t="str">
        <f t="shared" ref="N86" si="74">TEXT(H86, "DD-MMM-YYY")</f>
        <v>19-Sept-1992</v>
      </c>
      <c r="O86" s="6" t="s">
        <v>58</v>
      </c>
    </row>
    <row r="87" spans="1:15" x14ac:dyDescent="0.35">
      <c r="A87" s="3" t="s">
        <v>243</v>
      </c>
      <c r="B87" s="3" t="s">
        <v>60</v>
      </c>
      <c r="C87" s="3" t="s">
        <v>61</v>
      </c>
      <c r="D87" s="3" t="s">
        <v>62</v>
      </c>
      <c r="E87" s="3" t="s">
        <v>63</v>
      </c>
      <c r="F87" s="3" t="s">
        <v>367</v>
      </c>
      <c r="G87" s="3" t="s">
        <v>368</v>
      </c>
      <c r="H87" s="4">
        <v>34297</v>
      </c>
      <c r="I87" s="6" t="s">
        <v>2258</v>
      </c>
      <c r="J87" s="6" t="s">
        <v>2444</v>
      </c>
      <c r="K87" s="6" t="s">
        <v>2633</v>
      </c>
      <c r="L87" s="6" t="s">
        <v>3214</v>
      </c>
      <c r="M87" s="9" t="s">
        <v>3358</v>
      </c>
      <c r="N87" s="5" t="str">
        <f t="shared" ref="N87" si="75">TEXT(H87,"DD-MMM-YYY")</f>
        <v>24-Nov-1993</v>
      </c>
      <c r="O87" s="6" t="s">
        <v>72</v>
      </c>
    </row>
    <row r="88" spans="1:15" x14ac:dyDescent="0.35">
      <c r="A88" s="3" t="s">
        <v>247</v>
      </c>
      <c r="B88" s="3" t="s">
        <v>74</v>
      </c>
      <c r="C88" s="3" t="s">
        <v>75</v>
      </c>
      <c r="D88" s="3" t="s">
        <v>76</v>
      </c>
      <c r="E88" s="3" t="s">
        <v>77</v>
      </c>
      <c r="F88" s="3" t="s">
        <v>369</v>
      </c>
      <c r="G88" s="3" t="s">
        <v>370</v>
      </c>
      <c r="H88" s="4">
        <v>34335</v>
      </c>
      <c r="I88" s="6" t="s">
        <v>2259</v>
      </c>
      <c r="J88" s="6" t="s">
        <v>2445</v>
      </c>
      <c r="K88" s="6" t="s">
        <v>2634</v>
      </c>
      <c r="L88" s="6" t="s">
        <v>3215</v>
      </c>
      <c r="M88" s="9" t="s">
        <v>3359</v>
      </c>
      <c r="N88" s="5" t="str">
        <f t="shared" ref="N88" si="76">TEXT(H88, "DD-MMM-YYY")</f>
        <v>01-Jan-1994</v>
      </c>
      <c r="O88" s="6" t="s">
        <v>86</v>
      </c>
    </row>
    <row r="89" spans="1:15" x14ac:dyDescent="0.35">
      <c r="A89" s="3" t="s">
        <v>251</v>
      </c>
      <c r="B89" s="3" t="s">
        <v>88</v>
      </c>
      <c r="C89" s="3" t="s">
        <v>89</v>
      </c>
      <c r="D89" s="3" t="s">
        <v>90</v>
      </c>
      <c r="E89" s="3" t="s">
        <v>91</v>
      </c>
      <c r="F89" s="3" t="s">
        <v>371</v>
      </c>
      <c r="G89" s="3" t="s">
        <v>372</v>
      </c>
      <c r="H89" s="4">
        <v>34764</v>
      </c>
      <c r="I89" s="6" t="s">
        <v>2260</v>
      </c>
      <c r="J89" s="6" t="s">
        <v>2446</v>
      </c>
      <c r="K89" s="6" t="s">
        <v>2635</v>
      </c>
      <c r="L89" s="6" t="s">
        <v>3216</v>
      </c>
      <c r="M89" s="9" t="s">
        <v>3360</v>
      </c>
      <c r="N89" s="5" t="str">
        <f t="shared" ref="N89" si="77">TEXT(H89,"DD-MMM-YYY")</f>
        <v>06-Mar-1995</v>
      </c>
      <c r="O89" s="6" t="s">
        <v>100</v>
      </c>
    </row>
    <row r="90" spans="1:15" x14ac:dyDescent="0.35">
      <c r="A90" s="3" t="s">
        <v>255</v>
      </c>
      <c r="B90" s="3" t="s">
        <v>102</v>
      </c>
      <c r="C90" s="3" t="s">
        <v>103</v>
      </c>
      <c r="D90" s="3" t="s">
        <v>104</v>
      </c>
      <c r="E90" s="3" t="s">
        <v>105</v>
      </c>
      <c r="F90" s="3" t="s">
        <v>373</v>
      </c>
      <c r="G90" s="3" t="s">
        <v>374</v>
      </c>
      <c r="H90" s="4">
        <v>35196</v>
      </c>
      <c r="I90" s="6" t="s">
        <v>2261</v>
      </c>
      <c r="J90" s="6" t="s">
        <v>2447</v>
      </c>
      <c r="K90" s="6" t="s">
        <v>2636</v>
      </c>
      <c r="L90" s="6" t="s">
        <v>3153</v>
      </c>
      <c r="M90" s="9" t="s">
        <v>3361</v>
      </c>
      <c r="N90" s="5" t="str">
        <f t="shared" ref="N90" si="78">TEXT(H90, "DD-MMM-YYY")</f>
        <v>11-May-1996</v>
      </c>
      <c r="O90" s="6" t="s">
        <v>3875</v>
      </c>
    </row>
    <row r="91" spans="1:15" x14ac:dyDescent="0.35">
      <c r="A91" s="3" t="s">
        <v>259</v>
      </c>
      <c r="B91" s="3" t="s">
        <v>109</v>
      </c>
      <c r="C91" s="3" t="s">
        <v>110</v>
      </c>
      <c r="D91" s="3" t="s">
        <v>111</v>
      </c>
      <c r="E91" s="3" t="s">
        <v>112</v>
      </c>
      <c r="F91" s="3" t="s">
        <v>375</v>
      </c>
      <c r="G91" s="3" t="s">
        <v>376</v>
      </c>
      <c r="H91" s="4">
        <v>35627</v>
      </c>
      <c r="I91" s="6" t="s">
        <v>2262</v>
      </c>
      <c r="J91" s="6" t="s">
        <v>2448</v>
      </c>
      <c r="K91" s="6" t="s">
        <v>2637</v>
      </c>
      <c r="L91" s="6" t="s">
        <v>3217</v>
      </c>
      <c r="M91" s="9" t="s">
        <v>3362</v>
      </c>
      <c r="N91" s="5" t="str">
        <f t="shared" ref="N91" si="79">TEXT(H91,"DD-MMM-YYY")</f>
        <v>16-Jul-1997</v>
      </c>
      <c r="O91" s="6" t="s">
        <v>3876</v>
      </c>
    </row>
    <row r="92" spans="1:15" x14ac:dyDescent="0.35">
      <c r="A92" s="3" t="s">
        <v>263</v>
      </c>
      <c r="B92" s="3" t="s">
        <v>116</v>
      </c>
      <c r="C92" s="3" t="s">
        <v>117</v>
      </c>
      <c r="D92" s="3" t="s">
        <v>118</v>
      </c>
      <c r="E92" s="3" t="s">
        <v>119</v>
      </c>
      <c r="F92" s="3" t="s">
        <v>377</v>
      </c>
      <c r="G92" s="3" t="s">
        <v>378</v>
      </c>
      <c r="H92" s="4">
        <v>36059</v>
      </c>
      <c r="I92" s="6" t="s">
        <v>2263</v>
      </c>
      <c r="J92" s="6" t="s">
        <v>2449</v>
      </c>
      <c r="K92" s="6" t="s">
        <v>2638</v>
      </c>
      <c r="L92" s="6" t="s">
        <v>3199</v>
      </c>
      <c r="M92" s="9" t="s">
        <v>3363</v>
      </c>
      <c r="N92" s="5" t="str">
        <f t="shared" ref="N92" si="80">TEXT(H92, "DD-MMM-YYY")</f>
        <v>21-Sept-1998</v>
      </c>
      <c r="O92" s="6" t="s">
        <v>3877</v>
      </c>
    </row>
    <row r="93" spans="1:15" x14ac:dyDescent="0.35">
      <c r="A93" s="3" t="s">
        <v>267</v>
      </c>
      <c r="B93" s="3" t="s">
        <v>123</v>
      </c>
      <c r="C93" s="3" t="s">
        <v>124</v>
      </c>
      <c r="D93" s="3" t="s">
        <v>125</v>
      </c>
      <c r="E93" s="3" t="s">
        <v>126</v>
      </c>
      <c r="F93" s="3" t="s">
        <v>379</v>
      </c>
      <c r="G93" s="3" t="s">
        <v>380</v>
      </c>
      <c r="H93" s="4">
        <v>36490</v>
      </c>
      <c r="I93" s="6" t="s">
        <v>2264</v>
      </c>
      <c r="J93" s="6" t="s">
        <v>2450</v>
      </c>
      <c r="K93" s="6" t="s">
        <v>2639</v>
      </c>
      <c r="L93" s="6" t="s">
        <v>3179</v>
      </c>
      <c r="M93" s="9" t="s">
        <v>3364</v>
      </c>
      <c r="N93" s="5" t="str">
        <f t="shared" ref="N93" si="81">TEXT(H93,"DD-MMM-YYY")</f>
        <v>26-Nov-1999</v>
      </c>
      <c r="O93" s="6" t="s">
        <v>3878</v>
      </c>
    </row>
    <row r="94" spans="1:15" x14ac:dyDescent="0.35">
      <c r="A94" s="3" t="s">
        <v>271</v>
      </c>
      <c r="B94" s="3" t="s">
        <v>130</v>
      </c>
      <c r="C94" s="3" t="s">
        <v>131</v>
      </c>
      <c r="D94" s="3" t="s">
        <v>132</v>
      </c>
      <c r="E94" s="3" t="s">
        <v>126</v>
      </c>
      <c r="F94" s="3" t="s">
        <v>381</v>
      </c>
      <c r="G94" s="3" t="s">
        <v>382</v>
      </c>
      <c r="H94" s="4">
        <v>31050</v>
      </c>
      <c r="I94" s="6" t="s">
        <v>2265</v>
      </c>
      <c r="J94" s="6" t="s">
        <v>2451</v>
      </c>
      <c r="K94" s="6" t="s">
        <v>2640</v>
      </c>
      <c r="L94" s="6" t="s">
        <v>3218</v>
      </c>
      <c r="M94" s="9" t="s">
        <v>3365</v>
      </c>
      <c r="N94" s="5" t="str">
        <f t="shared" ref="N94" si="82">TEXT(H94, "DD-MMM-YYY")</f>
        <v>03-Jan-1985</v>
      </c>
      <c r="O94" s="6" t="s">
        <v>3879</v>
      </c>
    </row>
    <row r="95" spans="1:15" x14ac:dyDescent="0.35">
      <c r="A95" s="3" t="s">
        <v>274</v>
      </c>
      <c r="B95" s="3" t="s">
        <v>136</v>
      </c>
      <c r="C95" s="3" t="s">
        <v>137</v>
      </c>
      <c r="D95" s="3" t="s">
        <v>138</v>
      </c>
      <c r="E95" s="3" t="s">
        <v>139</v>
      </c>
      <c r="F95" s="3" t="s">
        <v>383</v>
      </c>
      <c r="G95" s="3" t="s">
        <v>384</v>
      </c>
      <c r="H95" s="4">
        <v>31479</v>
      </c>
      <c r="I95" s="6" t="s">
        <v>2266</v>
      </c>
      <c r="J95" s="6" t="s">
        <v>1653</v>
      </c>
      <c r="K95" s="6" t="s">
        <v>2641</v>
      </c>
      <c r="L95" s="6" t="s">
        <v>3219</v>
      </c>
      <c r="M95" s="9" t="s">
        <v>3366</v>
      </c>
      <c r="N95" s="5" t="str">
        <f t="shared" ref="N95" si="83">TEXT(H95,"DD-MMM-YYY")</f>
        <v>08-Mar-1986</v>
      </c>
      <c r="O95" s="6" t="s">
        <v>3880</v>
      </c>
    </row>
    <row r="96" spans="1:15" x14ac:dyDescent="0.35">
      <c r="A96" s="3" t="s">
        <v>277</v>
      </c>
      <c r="B96" s="3" t="s">
        <v>143</v>
      </c>
      <c r="C96" s="3" t="s">
        <v>144</v>
      </c>
      <c r="D96" s="3" t="s">
        <v>145</v>
      </c>
      <c r="E96" s="3" t="s">
        <v>146</v>
      </c>
      <c r="F96" s="3" t="s">
        <v>385</v>
      </c>
      <c r="G96" s="3" t="s">
        <v>386</v>
      </c>
      <c r="H96" s="4">
        <v>31910</v>
      </c>
      <c r="I96" s="6" t="s">
        <v>2267</v>
      </c>
      <c r="J96" s="6" t="s">
        <v>2452</v>
      </c>
      <c r="K96" s="6" t="s">
        <v>2642</v>
      </c>
      <c r="L96" s="6" t="s">
        <v>3220</v>
      </c>
      <c r="M96" s="9" t="s">
        <v>3367</v>
      </c>
      <c r="N96" s="5" t="str">
        <f t="shared" ref="N96" si="84">TEXT(H96, "DD-MMM-YYY")</f>
        <v>13-May-1987</v>
      </c>
      <c r="O96" s="6" t="s">
        <v>3881</v>
      </c>
    </row>
    <row r="97" spans="1:15" x14ac:dyDescent="0.35">
      <c r="A97" s="3" t="s">
        <v>280</v>
      </c>
      <c r="B97" s="3" t="s">
        <v>150</v>
      </c>
      <c r="C97" s="3" t="s">
        <v>151</v>
      </c>
      <c r="D97" s="3" t="s">
        <v>152</v>
      </c>
      <c r="E97" s="3" t="s">
        <v>153</v>
      </c>
      <c r="F97" s="3" t="s">
        <v>387</v>
      </c>
      <c r="G97" s="3" t="s">
        <v>388</v>
      </c>
      <c r="H97" s="4">
        <v>32342</v>
      </c>
      <c r="I97" s="6" t="s">
        <v>2268</v>
      </c>
      <c r="J97" s="6" t="s">
        <v>2453</v>
      </c>
      <c r="K97" s="6" t="s">
        <v>2643</v>
      </c>
      <c r="L97" s="6" t="s">
        <v>3221</v>
      </c>
      <c r="M97" s="9" t="s">
        <v>3368</v>
      </c>
      <c r="N97" s="5" t="str">
        <f t="shared" ref="N97" si="85">TEXT(H97,"DD-MMM-YYY")</f>
        <v>18-Jul-1988</v>
      </c>
      <c r="O97" s="6" t="s">
        <v>3882</v>
      </c>
    </row>
    <row r="98" spans="1:15" x14ac:dyDescent="0.35">
      <c r="A98" s="3" t="s">
        <v>283</v>
      </c>
      <c r="B98" s="3" t="s">
        <v>157</v>
      </c>
      <c r="C98" s="3" t="s">
        <v>158</v>
      </c>
      <c r="D98" s="3" t="s">
        <v>159</v>
      </c>
      <c r="E98" s="3" t="s">
        <v>77</v>
      </c>
      <c r="F98" s="3" t="s">
        <v>389</v>
      </c>
      <c r="G98" s="3" t="s">
        <v>390</v>
      </c>
      <c r="H98" s="4">
        <v>32774</v>
      </c>
      <c r="I98" s="6" t="s">
        <v>2269</v>
      </c>
      <c r="J98" s="6" t="s">
        <v>2454</v>
      </c>
      <c r="K98" s="6" t="s">
        <v>2644</v>
      </c>
      <c r="L98" s="6" t="s">
        <v>3151</v>
      </c>
      <c r="M98" s="9" t="s">
        <v>3369</v>
      </c>
      <c r="N98" s="5" t="str">
        <f t="shared" ref="N98" si="86">TEXT(H98, "DD-MMM-YYY")</f>
        <v>23-Sept-1989</v>
      </c>
      <c r="O98" s="6" t="s">
        <v>3883</v>
      </c>
    </row>
    <row r="99" spans="1:15" x14ac:dyDescent="0.35">
      <c r="A99" s="3" t="s">
        <v>286</v>
      </c>
      <c r="B99" s="3" t="s">
        <v>163</v>
      </c>
      <c r="C99" s="3" t="s">
        <v>164</v>
      </c>
      <c r="D99" s="3" t="s">
        <v>165</v>
      </c>
      <c r="E99" s="3" t="s">
        <v>166</v>
      </c>
      <c r="F99" s="3" t="s">
        <v>391</v>
      </c>
      <c r="G99" s="3" t="s">
        <v>392</v>
      </c>
      <c r="H99" s="4">
        <v>33205</v>
      </c>
      <c r="I99" s="6" t="s">
        <v>2270</v>
      </c>
      <c r="J99" s="6" t="s">
        <v>2455</v>
      </c>
      <c r="K99" s="6" t="s">
        <v>2645</v>
      </c>
      <c r="L99" s="6" t="s">
        <v>3222</v>
      </c>
      <c r="M99" s="9" t="s">
        <v>3370</v>
      </c>
      <c r="N99" s="5" t="str">
        <f t="shared" ref="N99" si="87">TEXT(H99,"DD-MMM-YYY")</f>
        <v>28-Nov-1990</v>
      </c>
      <c r="O99" s="6" t="s">
        <v>3884</v>
      </c>
    </row>
    <row r="100" spans="1:15" x14ac:dyDescent="0.35">
      <c r="A100" s="3" t="s">
        <v>289</v>
      </c>
      <c r="B100" s="3" t="s">
        <v>170</v>
      </c>
      <c r="C100" s="3" t="s">
        <v>19</v>
      </c>
      <c r="D100" s="3" t="s">
        <v>171</v>
      </c>
      <c r="E100" s="3" t="s">
        <v>172</v>
      </c>
      <c r="F100" s="3" t="s">
        <v>393</v>
      </c>
      <c r="G100" s="3" t="s">
        <v>394</v>
      </c>
      <c r="H100" s="4">
        <v>33243</v>
      </c>
      <c r="I100" s="6" t="s">
        <v>2271</v>
      </c>
      <c r="J100" s="6" t="s">
        <v>2456</v>
      </c>
      <c r="K100" s="6" t="s">
        <v>2646</v>
      </c>
      <c r="L100" s="6" t="s">
        <v>3223</v>
      </c>
      <c r="M100" s="9" t="s">
        <v>3371</v>
      </c>
      <c r="N100" s="5" t="str">
        <f t="shared" ref="N100" si="88">TEXT(H100, "DD-MMM-YYY")</f>
        <v>05-Jan-1991</v>
      </c>
      <c r="O100" s="6" t="s">
        <v>30</v>
      </c>
    </row>
    <row r="101" spans="1:15" x14ac:dyDescent="0.35">
      <c r="A101" s="3" t="s">
        <v>292</v>
      </c>
      <c r="B101" s="3" t="s">
        <v>176</v>
      </c>
      <c r="C101" s="3" t="s">
        <v>33</v>
      </c>
      <c r="D101" s="3" t="s">
        <v>162</v>
      </c>
      <c r="E101" s="3" t="s">
        <v>63</v>
      </c>
      <c r="F101" s="3" t="s">
        <v>395</v>
      </c>
      <c r="G101" s="3" t="s">
        <v>396</v>
      </c>
      <c r="H101" s="4">
        <v>33673</v>
      </c>
      <c r="I101" s="6" t="s">
        <v>2272</v>
      </c>
      <c r="J101" s="6" t="s">
        <v>2457</v>
      </c>
      <c r="K101" s="6" t="s">
        <v>2647</v>
      </c>
      <c r="L101" s="6" t="s">
        <v>3224</v>
      </c>
      <c r="M101" s="9" t="s">
        <v>3372</v>
      </c>
      <c r="N101" s="5" t="str">
        <f t="shared" ref="N101" si="89">TEXT(H101,"DD-MMM-YYY")</f>
        <v>10-Mar-1992</v>
      </c>
      <c r="O101" s="6" t="s">
        <v>44</v>
      </c>
    </row>
    <row r="102" spans="1:15" x14ac:dyDescent="0.35">
      <c r="A102" s="3" t="s">
        <v>295</v>
      </c>
      <c r="B102" s="3" t="s">
        <v>180</v>
      </c>
      <c r="C102" s="3" t="s">
        <v>47</v>
      </c>
      <c r="D102" s="3" t="s">
        <v>181</v>
      </c>
      <c r="E102" s="3" t="s">
        <v>182</v>
      </c>
      <c r="F102" s="3" t="s">
        <v>397</v>
      </c>
      <c r="G102" s="3" t="s">
        <v>398</v>
      </c>
      <c r="H102" s="4">
        <v>34104</v>
      </c>
      <c r="I102" s="6" t="s">
        <v>2273</v>
      </c>
      <c r="J102" s="6" t="s">
        <v>2458</v>
      </c>
      <c r="K102" s="6" t="s">
        <v>2648</v>
      </c>
      <c r="L102" s="6" t="s">
        <v>3225</v>
      </c>
      <c r="M102" s="9" t="s">
        <v>3373</v>
      </c>
      <c r="N102" s="5" t="str">
        <f t="shared" ref="N102" si="90">TEXT(H102, "DD-MMM-YYY")</f>
        <v>15-May-1993</v>
      </c>
      <c r="O102" s="6" t="s">
        <v>58</v>
      </c>
    </row>
    <row r="103" spans="1:15" x14ac:dyDescent="0.35">
      <c r="A103" s="3" t="s">
        <v>298</v>
      </c>
      <c r="B103" s="3" t="s">
        <v>186</v>
      </c>
      <c r="C103" s="3" t="s">
        <v>61</v>
      </c>
      <c r="D103" s="3" t="s">
        <v>187</v>
      </c>
      <c r="E103" s="3" t="s">
        <v>188</v>
      </c>
      <c r="F103" s="3" t="s">
        <v>399</v>
      </c>
      <c r="G103" s="3" t="s">
        <v>400</v>
      </c>
      <c r="H103" s="4">
        <v>34535</v>
      </c>
      <c r="I103" s="6" t="s">
        <v>2274</v>
      </c>
      <c r="J103" s="6" t="s">
        <v>2459</v>
      </c>
      <c r="K103" s="6" t="s">
        <v>2649</v>
      </c>
      <c r="L103" s="6" t="s">
        <v>3226</v>
      </c>
      <c r="M103" s="9" t="s">
        <v>3374</v>
      </c>
      <c r="N103" s="5" t="str">
        <f t="shared" ref="N103" si="91">TEXT(H103,"DD-MMM-YYY")</f>
        <v>20-Jul-1994</v>
      </c>
      <c r="O103" s="6" t="s">
        <v>72</v>
      </c>
    </row>
    <row r="104" spans="1:15" x14ac:dyDescent="0.35">
      <c r="A104" s="3" t="s">
        <v>17</v>
      </c>
      <c r="B104" s="3" t="s">
        <v>192</v>
      </c>
      <c r="C104" s="3" t="s">
        <v>75</v>
      </c>
      <c r="D104" s="3" t="s">
        <v>20</v>
      </c>
      <c r="E104" s="3" t="s">
        <v>21</v>
      </c>
      <c r="F104" s="3" t="s">
        <v>401</v>
      </c>
      <c r="G104" s="3" t="s">
        <v>402</v>
      </c>
      <c r="H104" s="4">
        <v>34967</v>
      </c>
      <c r="I104" s="6" t="s">
        <v>2275</v>
      </c>
      <c r="J104" s="6" t="s">
        <v>2460</v>
      </c>
      <c r="K104" s="6" t="s">
        <v>2650</v>
      </c>
      <c r="L104" s="6" t="s">
        <v>3162</v>
      </c>
      <c r="M104" s="9" t="s">
        <v>3375</v>
      </c>
      <c r="N104" s="5" t="str">
        <f t="shared" ref="N104" si="92">TEXT(H104, "DD-MMM-YYY")</f>
        <v>25-Sept-1995</v>
      </c>
      <c r="O104" s="6" t="s">
        <v>86</v>
      </c>
    </row>
    <row r="105" spans="1:15" x14ac:dyDescent="0.35">
      <c r="A105" s="3" t="s">
        <v>31</v>
      </c>
      <c r="B105" s="3" t="s">
        <v>196</v>
      </c>
      <c r="C105" s="3" t="s">
        <v>89</v>
      </c>
      <c r="D105" s="3" t="s">
        <v>34</v>
      </c>
      <c r="E105" s="3" t="s">
        <v>35</v>
      </c>
      <c r="F105" s="3" t="s">
        <v>403</v>
      </c>
      <c r="G105" s="3" t="s">
        <v>404</v>
      </c>
      <c r="H105" s="4">
        <v>35371</v>
      </c>
      <c r="I105" s="6" t="s">
        <v>2276</v>
      </c>
      <c r="J105" s="6" t="s">
        <v>1583</v>
      </c>
      <c r="K105" s="6" t="s">
        <v>2651</v>
      </c>
      <c r="L105" s="6" t="s">
        <v>3227</v>
      </c>
      <c r="M105" s="9" t="s">
        <v>3376</v>
      </c>
      <c r="N105" s="5" t="str">
        <f t="shared" ref="N105" si="93">TEXT(H105,"DD-MMM-YYY")</f>
        <v>02-Nov-1996</v>
      </c>
      <c r="O105" s="6" t="s">
        <v>100</v>
      </c>
    </row>
    <row r="106" spans="1:15" x14ac:dyDescent="0.35">
      <c r="A106" s="3" t="s">
        <v>45</v>
      </c>
      <c r="B106" s="3" t="s">
        <v>200</v>
      </c>
      <c r="C106" s="3" t="s">
        <v>103</v>
      </c>
      <c r="D106" s="3" t="s">
        <v>48</v>
      </c>
      <c r="E106" s="3" t="s">
        <v>49</v>
      </c>
      <c r="F106" s="3" t="s">
        <v>405</v>
      </c>
      <c r="G106" s="3" t="s">
        <v>406</v>
      </c>
      <c r="H106" s="4">
        <v>35437</v>
      </c>
      <c r="I106" s="6" t="s">
        <v>2277</v>
      </c>
      <c r="J106" s="6" t="s">
        <v>2461</v>
      </c>
      <c r="K106" s="6" t="s">
        <v>2652</v>
      </c>
      <c r="L106" s="6" t="s">
        <v>3228</v>
      </c>
      <c r="M106" s="9" t="s">
        <v>3377</v>
      </c>
      <c r="N106" s="5" t="str">
        <f t="shared" ref="N106" si="94">TEXT(H106, "DD-MMM-YYY")</f>
        <v>07-Jan-1997</v>
      </c>
      <c r="O106" s="6" t="s">
        <v>3875</v>
      </c>
    </row>
    <row r="107" spans="1:15" x14ac:dyDescent="0.35">
      <c r="A107" s="3" t="s">
        <v>59</v>
      </c>
      <c r="B107" s="3" t="s">
        <v>204</v>
      </c>
      <c r="C107" s="3" t="s">
        <v>110</v>
      </c>
      <c r="D107" s="3" t="s">
        <v>62</v>
      </c>
      <c r="E107" s="3" t="s">
        <v>63</v>
      </c>
      <c r="F107" s="3" t="s">
        <v>407</v>
      </c>
      <c r="G107" s="3" t="s">
        <v>408</v>
      </c>
      <c r="H107" s="4">
        <v>35866</v>
      </c>
      <c r="I107" s="6" t="s">
        <v>2278</v>
      </c>
      <c r="J107" s="6" t="s">
        <v>2462</v>
      </c>
      <c r="K107" s="6" t="s">
        <v>2653</v>
      </c>
      <c r="L107" s="6" t="s">
        <v>3200</v>
      </c>
      <c r="M107" s="9" t="s">
        <v>3378</v>
      </c>
      <c r="N107" s="5" t="str">
        <f t="shared" ref="N107" si="95">TEXT(H107,"DD-MMM-YYY")</f>
        <v>12-Mar-1998</v>
      </c>
      <c r="O107" s="6" t="s">
        <v>3876</v>
      </c>
    </row>
    <row r="108" spans="1:15" x14ac:dyDescent="0.35">
      <c r="A108" s="3" t="s">
        <v>73</v>
      </c>
      <c r="B108" s="3" t="s">
        <v>208</v>
      </c>
      <c r="C108" s="3" t="s">
        <v>117</v>
      </c>
      <c r="D108" s="3" t="s">
        <v>76</v>
      </c>
      <c r="E108" s="3" t="s">
        <v>77</v>
      </c>
      <c r="F108" s="3" t="s">
        <v>409</v>
      </c>
      <c r="G108" s="3" t="s">
        <v>410</v>
      </c>
      <c r="H108" s="4">
        <v>36297</v>
      </c>
      <c r="I108" s="6" t="s">
        <v>2279</v>
      </c>
      <c r="J108" s="6" t="s">
        <v>2463</v>
      </c>
      <c r="K108" s="6" t="s">
        <v>2654</v>
      </c>
      <c r="L108" s="6" t="s">
        <v>3229</v>
      </c>
      <c r="M108" s="9" t="s">
        <v>3379</v>
      </c>
      <c r="N108" s="5" t="str">
        <f t="shared" ref="N108" si="96">TEXT(H108, "DD-MMM-YYY")</f>
        <v>17-May-1999</v>
      </c>
      <c r="O108" s="6" t="s">
        <v>3877</v>
      </c>
    </row>
    <row r="109" spans="1:15" x14ac:dyDescent="0.35">
      <c r="A109" s="3" t="s">
        <v>87</v>
      </c>
      <c r="B109" s="3" t="s">
        <v>212</v>
      </c>
      <c r="C109" s="3" t="s">
        <v>124</v>
      </c>
      <c r="D109" s="3" t="s">
        <v>90</v>
      </c>
      <c r="E109" s="3" t="s">
        <v>91</v>
      </c>
      <c r="F109" s="3" t="s">
        <v>411</v>
      </c>
      <c r="G109" s="3" t="s">
        <v>412</v>
      </c>
      <c r="H109" s="4">
        <v>31250</v>
      </c>
      <c r="I109" s="6" t="s">
        <v>2280</v>
      </c>
      <c r="J109" s="6" t="s">
        <v>2464</v>
      </c>
      <c r="K109" s="6" t="s">
        <v>2655</v>
      </c>
      <c r="L109" s="6" t="s">
        <v>3230</v>
      </c>
      <c r="M109" s="9" t="s">
        <v>3380</v>
      </c>
      <c r="N109" s="5" t="str">
        <f t="shared" ref="N109" si="97">TEXT(H109,"DD-MMM-YYY")</f>
        <v>22-Jul-1985</v>
      </c>
      <c r="O109" s="6" t="s">
        <v>3878</v>
      </c>
    </row>
    <row r="110" spans="1:15" x14ac:dyDescent="0.35">
      <c r="A110" s="3" t="s">
        <v>101</v>
      </c>
      <c r="B110" s="3" t="s">
        <v>216</v>
      </c>
      <c r="C110" s="3" t="s">
        <v>131</v>
      </c>
      <c r="D110" s="3" t="s">
        <v>104</v>
      </c>
      <c r="E110" s="3" t="s">
        <v>105</v>
      </c>
      <c r="F110" s="3" t="s">
        <v>413</v>
      </c>
      <c r="G110" s="3" t="s">
        <v>414</v>
      </c>
      <c r="H110" s="4">
        <v>31682</v>
      </c>
      <c r="I110" s="6" t="s">
        <v>2281</v>
      </c>
      <c r="J110" s="6" t="s">
        <v>2465</v>
      </c>
      <c r="K110" s="6" t="s">
        <v>2656</v>
      </c>
      <c r="L110" s="6" t="s">
        <v>3212</v>
      </c>
      <c r="M110" s="9" t="s">
        <v>3381</v>
      </c>
      <c r="N110" s="5" t="str">
        <f t="shared" ref="N110" si="98">TEXT(H110, "DD-MMM-YYY")</f>
        <v>27-Sept-1986</v>
      </c>
      <c r="O110" s="6" t="s">
        <v>3879</v>
      </c>
    </row>
    <row r="111" spans="1:15" x14ac:dyDescent="0.35">
      <c r="A111" s="3" t="s">
        <v>108</v>
      </c>
      <c r="B111" s="3" t="s">
        <v>220</v>
      </c>
      <c r="C111" s="3" t="s">
        <v>137</v>
      </c>
      <c r="D111" s="3" t="s">
        <v>111</v>
      </c>
      <c r="E111" s="3" t="s">
        <v>112</v>
      </c>
      <c r="F111" s="3" t="s">
        <v>415</v>
      </c>
      <c r="G111" s="3" t="s">
        <v>416</v>
      </c>
      <c r="H111" s="4">
        <v>32085</v>
      </c>
      <c r="I111" s="6" t="s">
        <v>2282</v>
      </c>
      <c r="J111" s="6" t="s">
        <v>2466</v>
      </c>
      <c r="K111" s="6" t="s">
        <v>2657</v>
      </c>
      <c r="L111" s="6" t="s">
        <v>3167</v>
      </c>
      <c r="M111" s="9" t="s">
        <v>3382</v>
      </c>
      <c r="N111" s="5" t="str">
        <f t="shared" ref="N111" si="99">TEXT(H111,"DD-MMM-YYY")</f>
        <v>04-Nov-1987</v>
      </c>
      <c r="O111" s="6" t="s">
        <v>3880</v>
      </c>
    </row>
    <row r="112" spans="1:15" x14ac:dyDescent="0.35">
      <c r="A112" s="3" t="s">
        <v>115</v>
      </c>
      <c r="B112" s="3" t="s">
        <v>224</v>
      </c>
      <c r="C112" s="3" t="s">
        <v>144</v>
      </c>
      <c r="D112" s="3" t="s">
        <v>118</v>
      </c>
      <c r="E112" s="3" t="s">
        <v>119</v>
      </c>
      <c r="F112" s="3" t="s">
        <v>417</v>
      </c>
      <c r="G112" s="3" t="s">
        <v>418</v>
      </c>
      <c r="H112" s="4">
        <v>32151</v>
      </c>
      <c r="I112" s="6" t="s">
        <v>2283</v>
      </c>
      <c r="J112" s="6" t="s">
        <v>2467</v>
      </c>
      <c r="K112" s="6" t="s">
        <v>2658</v>
      </c>
      <c r="L112" s="6" t="s">
        <v>3231</v>
      </c>
      <c r="M112" s="9" t="s">
        <v>3383</v>
      </c>
      <c r="N112" s="5" t="str">
        <f t="shared" ref="N112" si="100">TEXT(H112, "DD-MMM-YYY")</f>
        <v>09-Jan-1988</v>
      </c>
      <c r="O112" s="6" t="s">
        <v>3881</v>
      </c>
    </row>
    <row r="113" spans="1:15" x14ac:dyDescent="0.35">
      <c r="A113" s="3" t="s">
        <v>122</v>
      </c>
      <c r="B113" s="3" t="s">
        <v>228</v>
      </c>
      <c r="C113" s="3" t="s">
        <v>151</v>
      </c>
      <c r="D113" s="3" t="s">
        <v>125</v>
      </c>
      <c r="E113" s="3" t="s">
        <v>126</v>
      </c>
      <c r="F113" s="3" t="s">
        <v>419</v>
      </c>
      <c r="G113" s="3" t="s">
        <v>420</v>
      </c>
      <c r="H113" s="4">
        <v>32581</v>
      </c>
      <c r="I113" s="6" t="s">
        <v>2284</v>
      </c>
      <c r="J113" s="6" t="s">
        <v>2468</v>
      </c>
      <c r="K113" s="6" t="s">
        <v>2659</v>
      </c>
      <c r="L113" s="6" t="s">
        <v>3232</v>
      </c>
      <c r="M113" s="9" t="s">
        <v>3384</v>
      </c>
      <c r="N113" s="5" t="str">
        <f t="shared" ref="N113" si="101">TEXT(H113,"DD-MMM-YYY")</f>
        <v>14-Mar-1989</v>
      </c>
      <c r="O113" s="6" t="s">
        <v>3882</v>
      </c>
    </row>
    <row r="114" spans="1:15" x14ac:dyDescent="0.35">
      <c r="A114" s="3" t="s">
        <v>129</v>
      </c>
      <c r="B114" s="3" t="s">
        <v>232</v>
      </c>
      <c r="C114" s="3" t="s">
        <v>158</v>
      </c>
      <c r="D114" s="3" t="s">
        <v>132</v>
      </c>
      <c r="E114" s="3" t="s">
        <v>126</v>
      </c>
      <c r="F114" s="3" t="s">
        <v>421</v>
      </c>
      <c r="G114" s="3" t="s">
        <v>422</v>
      </c>
      <c r="H114" s="4">
        <v>33012</v>
      </c>
      <c r="I114" s="6" t="s">
        <v>2285</v>
      </c>
      <c r="J114" s="6" t="s">
        <v>2469</v>
      </c>
      <c r="K114" s="6" t="s">
        <v>2660</v>
      </c>
      <c r="L114" s="6" t="s">
        <v>3167</v>
      </c>
      <c r="M114" s="9" t="s">
        <v>3385</v>
      </c>
      <c r="N114" s="5" t="str">
        <f t="shared" ref="N114" si="102">TEXT(H114, "DD-MMM-YYY")</f>
        <v>19-May-1990</v>
      </c>
      <c r="O114" s="6" t="s">
        <v>3883</v>
      </c>
    </row>
    <row r="115" spans="1:15" x14ac:dyDescent="0.35">
      <c r="A115" s="3" t="s">
        <v>135</v>
      </c>
      <c r="B115" s="3" t="s">
        <v>236</v>
      </c>
      <c r="C115" s="3" t="s">
        <v>164</v>
      </c>
      <c r="D115" s="3" t="s">
        <v>138</v>
      </c>
      <c r="E115" s="3" t="s">
        <v>139</v>
      </c>
      <c r="F115" s="3" t="s">
        <v>423</v>
      </c>
      <c r="G115" s="3" t="s">
        <v>424</v>
      </c>
      <c r="H115" s="4">
        <v>33443</v>
      </c>
      <c r="I115" s="6" t="s">
        <v>2286</v>
      </c>
      <c r="J115" s="6" t="s">
        <v>1445</v>
      </c>
      <c r="K115" s="6" t="s">
        <v>2661</v>
      </c>
      <c r="L115" s="6" t="s">
        <v>3233</v>
      </c>
      <c r="M115" s="9" t="s">
        <v>3386</v>
      </c>
      <c r="N115" s="5" t="str">
        <f t="shared" ref="N115" si="103">TEXT(H115,"DD-MMM-YYY")</f>
        <v>24-Jul-1991</v>
      </c>
      <c r="O115" s="6" t="s">
        <v>3884</v>
      </c>
    </row>
    <row r="116" spans="1:15" x14ac:dyDescent="0.35">
      <c r="A116" s="3" t="s">
        <v>142</v>
      </c>
      <c r="B116" s="3" t="s">
        <v>240</v>
      </c>
      <c r="C116" s="3" t="s">
        <v>19</v>
      </c>
      <c r="D116" s="3" t="s">
        <v>145</v>
      </c>
      <c r="E116" s="3" t="s">
        <v>146</v>
      </c>
      <c r="F116" s="3" t="s">
        <v>425</v>
      </c>
      <c r="G116" s="3" t="s">
        <v>426</v>
      </c>
      <c r="H116" s="4">
        <v>33848</v>
      </c>
      <c r="I116" s="6" t="s">
        <v>2287</v>
      </c>
      <c r="J116" s="6" t="s">
        <v>2470</v>
      </c>
      <c r="K116" s="6" t="s">
        <v>2662</v>
      </c>
      <c r="L116" s="6" t="s">
        <v>3234</v>
      </c>
      <c r="M116" s="9" t="s">
        <v>3387</v>
      </c>
      <c r="N116" s="5" t="str">
        <f t="shared" ref="N116" si="104">TEXT(H116, "DD-MMM-YYY")</f>
        <v>01-Sept-1992</v>
      </c>
      <c r="O116" s="6" t="s">
        <v>30</v>
      </c>
    </row>
    <row r="117" spans="1:15" x14ac:dyDescent="0.35">
      <c r="A117" s="3" t="s">
        <v>149</v>
      </c>
      <c r="B117" s="3" t="s">
        <v>244</v>
      </c>
      <c r="C117" s="3" t="s">
        <v>33</v>
      </c>
      <c r="D117" s="3" t="s">
        <v>152</v>
      </c>
      <c r="E117" s="3" t="s">
        <v>153</v>
      </c>
      <c r="F117" s="3" t="s">
        <v>427</v>
      </c>
      <c r="G117" s="3" t="s">
        <v>428</v>
      </c>
      <c r="H117" s="4">
        <v>34279</v>
      </c>
      <c r="I117" s="6" t="s">
        <v>2288</v>
      </c>
      <c r="J117" s="6" t="s">
        <v>2471</v>
      </c>
      <c r="K117" s="6" t="s">
        <v>2663</v>
      </c>
      <c r="L117" s="6" t="s">
        <v>3235</v>
      </c>
      <c r="M117" s="9" t="s">
        <v>3388</v>
      </c>
      <c r="N117" s="5" t="str">
        <f t="shared" ref="N117" si="105">TEXT(H117,"DD-MMM-YYY")</f>
        <v>06-Nov-1993</v>
      </c>
      <c r="O117" s="6" t="s">
        <v>44</v>
      </c>
    </row>
    <row r="118" spans="1:15" x14ac:dyDescent="0.35">
      <c r="A118" s="3" t="s">
        <v>156</v>
      </c>
      <c r="B118" s="3" t="s">
        <v>248</v>
      </c>
      <c r="C118" s="3" t="s">
        <v>47</v>
      </c>
      <c r="D118" s="3" t="s">
        <v>159</v>
      </c>
      <c r="E118" s="3" t="s">
        <v>77</v>
      </c>
      <c r="F118" s="3" t="s">
        <v>429</v>
      </c>
      <c r="G118" s="3" t="s">
        <v>430</v>
      </c>
      <c r="H118" s="4">
        <v>34345</v>
      </c>
      <c r="I118" s="6" t="s">
        <v>2289</v>
      </c>
      <c r="J118" s="6" t="s">
        <v>2472</v>
      </c>
      <c r="K118" s="6" t="s">
        <v>2664</v>
      </c>
      <c r="L118" s="6" t="s">
        <v>3236</v>
      </c>
      <c r="M118" s="9" t="s">
        <v>3389</v>
      </c>
      <c r="N118" s="5" t="str">
        <f t="shared" ref="N118" si="106">TEXT(H118, "DD-MMM-YYY")</f>
        <v>11-Jan-1994</v>
      </c>
      <c r="O118" s="6" t="s">
        <v>58</v>
      </c>
    </row>
    <row r="119" spans="1:15" x14ac:dyDescent="0.35">
      <c r="A119" s="3" t="s">
        <v>162</v>
      </c>
      <c r="B119" s="3" t="s">
        <v>252</v>
      </c>
      <c r="C119" s="3" t="s">
        <v>61</v>
      </c>
      <c r="D119" s="3" t="s">
        <v>165</v>
      </c>
      <c r="E119" s="3" t="s">
        <v>166</v>
      </c>
      <c r="F119" s="3" t="s">
        <v>431</v>
      </c>
      <c r="G119" s="3" t="s">
        <v>432</v>
      </c>
      <c r="H119" s="4">
        <v>34774</v>
      </c>
      <c r="I119" s="6" t="s">
        <v>2290</v>
      </c>
      <c r="J119" s="6" t="s">
        <v>2473</v>
      </c>
      <c r="K119" s="6" t="s">
        <v>2665</v>
      </c>
      <c r="L119" s="6" t="s">
        <v>3237</v>
      </c>
      <c r="M119" s="9" t="s">
        <v>3390</v>
      </c>
      <c r="N119" s="5" t="str">
        <f t="shared" ref="N119" si="107">TEXT(H119,"DD-MMM-YYY")</f>
        <v>16-Mar-1995</v>
      </c>
      <c r="O119" s="6" t="s">
        <v>72</v>
      </c>
    </row>
    <row r="120" spans="1:15" x14ac:dyDescent="0.35">
      <c r="A120" s="3" t="s">
        <v>169</v>
      </c>
      <c r="B120" s="3" t="s">
        <v>256</v>
      </c>
      <c r="C120" s="3" t="s">
        <v>75</v>
      </c>
      <c r="D120" s="3" t="s">
        <v>171</v>
      </c>
      <c r="E120" s="3" t="s">
        <v>172</v>
      </c>
      <c r="F120" s="3" t="s">
        <v>433</v>
      </c>
      <c r="G120" s="3" t="s">
        <v>434</v>
      </c>
      <c r="H120" s="4">
        <v>35206</v>
      </c>
      <c r="I120" s="6" t="s">
        <v>2291</v>
      </c>
      <c r="J120" s="6" t="s">
        <v>2474</v>
      </c>
      <c r="K120" s="6" t="s">
        <v>2666</v>
      </c>
      <c r="L120" s="6" t="s">
        <v>3238</v>
      </c>
      <c r="M120" s="9" t="s">
        <v>3391</v>
      </c>
      <c r="N120" s="5" t="str">
        <f t="shared" ref="N120" si="108">TEXT(H120, "DD-MMM-YYY")</f>
        <v>21-May-1996</v>
      </c>
      <c r="O120" s="6" t="s">
        <v>86</v>
      </c>
    </row>
    <row r="121" spans="1:15" x14ac:dyDescent="0.35">
      <c r="A121" s="3" t="s">
        <v>175</v>
      </c>
      <c r="B121" s="3" t="s">
        <v>260</v>
      </c>
      <c r="C121" s="3" t="s">
        <v>89</v>
      </c>
      <c r="D121" s="3" t="s">
        <v>162</v>
      </c>
      <c r="E121" s="3" t="s">
        <v>63</v>
      </c>
      <c r="F121" s="3" t="s">
        <v>435</v>
      </c>
      <c r="G121" s="3" t="s">
        <v>436</v>
      </c>
      <c r="H121" s="4">
        <v>35637</v>
      </c>
      <c r="I121" s="6" t="s">
        <v>2292</v>
      </c>
      <c r="J121" s="6" t="s">
        <v>2475</v>
      </c>
      <c r="K121" s="6" t="s">
        <v>2667</v>
      </c>
      <c r="L121" s="6" t="s">
        <v>3239</v>
      </c>
      <c r="M121" s="9" t="s">
        <v>3392</v>
      </c>
      <c r="N121" s="5" t="str">
        <f t="shared" ref="N121" si="109">TEXT(H121,"DD-MMM-YYY")</f>
        <v>26-Jul-1997</v>
      </c>
      <c r="O121" s="6" t="s">
        <v>100</v>
      </c>
    </row>
    <row r="122" spans="1:15" x14ac:dyDescent="0.35">
      <c r="A122" s="3" t="s">
        <v>179</v>
      </c>
      <c r="B122" s="3" t="s">
        <v>264</v>
      </c>
      <c r="C122" s="3" t="s">
        <v>103</v>
      </c>
      <c r="D122" s="3" t="s">
        <v>181</v>
      </c>
      <c r="E122" s="3" t="s">
        <v>182</v>
      </c>
      <c r="F122" s="3" t="s">
        <v>437</v>
      </c>
      <c r="G122" s="3" t="s">
        <v>438</v>
      </c>
      <c r="H122" s="4">
        <v>36041</v>
      </c>
      <c r="I122" s="6" t="s">
        <v>2293</v>
      </c>
      <c r="J122" s="6" t="s">
        <v>2476</v>
      </c>
      <c r="K122" s="6" t="s">
        <v>2668</v>
      </c>
      <c r="L122" s="6" t="s">
        <v>3240</v>
      </c>
      <c r="M122" s="9" t="s">
        <v>3393</v>
      </c>
      <c r="N122" s="5" t="str">
        <f t="shared" ref="N122" si="110">TEXT(H122, "DD-MMM-YYY")</f>
        <v>03-Sept-1998</v>
      </c>
      <c r="O122" s="6" t="s">
        <v>3875</v>
      </c>
    </row>
    <row r="123" spans="1:15" x14ac:dyDescent="0.35">
      <c r="A123" s="3" t="s">
        <v>185</v>
      </c>
      <c r="B123" s="3" t="s">
        <v>268</v>
      </c>
      <c r="C123" s="3" t="s">
        <v>110</v>
      </c>
      <c r="D123" s="3" t="s">
        <v>187</v>
      </c>
      <c r="E123" s="3" t="s">
        <v>188</v>
      </c>
      <c r="F123" s="3" t="s">
        <v>439</v>
      </c>
      <c r="G123" s="3" t="s">
        <v>440</v>
      </c>
      <c r="H123" s="4">
        <v>36472</v>
      </c>
      <c r="I123" s="6" t="s">
        <v>2294</v>
      </c>
      <c r="J123" s="6" t="s">
        <v>2477</v>
      </c>
      <c r="K123" s="6" t="s">
        <v>2669</v>
      </c>
      <c r="L123" s="6" t="s">
        <v>3186</v>
      </c>
      <c r="M123" s="9" t="s">
        <v>3394</v>
      </c>
      <c r="N123" s="5" t="str">
        <f t="shared" ref="N123" si="111">TEXT(H123,"DD-MMM-YYY")</f>
        <v>08-Nov-1999</v>
      </c>
      <c r="O123" s="6" t="s">
        <v>3876</v>
      </c>
    </row>
    <row r="124" spans="1:15" x14ac:dyDescent="0.35">
      <c r="A124" s="3" t="s">
        <v>191</v>
      </c>
      <c r="B124" s="3" t="s">
        <v>18</v>
      </c>
      <c r="C124" s="3" t="s">
        <v>117</v>
      </c>
      <c r="D124" s="3" t="s">
        <v>20</v>
      </c>
      <c r="E124" s="3" t="s">
        <v>21</v>
      </c>
      <c r="F124" s="3" t="s">
        <v>441</v>
      </c>
      <c r="G124" s="3" t="s">
        <v>442</v>
      </c>
      <c r="H124" s="4">
        <v>31060</v>
      </c>
      <c r="I124" s="6" t="s">
        <v>2295</v>
      </c>
      <c r="J124" s="6" t="s">
        <v>2478</v>
      </c>
      <c r="K124" s="6" t="s">
        <v>2670</v>
      </c>
      <c r="L124" s="6" t="s">
        <v>27</v>
      </c>
      <c r="M124" s="9" t="s">
        <v>3395</v>
      </c>
      <c r="N124" s="5" t="str">
        <f t="shared" ref="N124" si="112">TEXT(H124, "DD-MMM-YYY")</f>
        <v>13-Jan-1985</v>
      </c>
      <c r="O124" s="6" t="s">
        <v>3877</v>
      </c>
    </row>
    <row r="125" spans="1:15" x14ac:dyDescent="0.35">
      <c r="A125" s="3" t="s">
        <v>195</v>
      </c>
      <c r="B125" s="3" t="s">
        <v>32</v>
      </c>
      <c r="C125" s="3" t="s">
        <v>124</v>
      </c>
      <c r="D125" s="3" t="s">
        <v>34</v>
      </c>
      <c r="E125" s="3" t="s">
        <v>35</v>
      </c>
      <c r="F125" s="3" t="s">
        <v>443</v>
      </c>
      <c r="G125" s="3" t="s">
        <v>444</v>
      </c>
      <c r="H125" s="4">
        <v>31489</v>
      </c>
      <c r="I125" s="6" t="s">
        <v>2296</v>
      </c>
      <c r="J125" s="6" t="s">
        <v>1643</v>
      </c>
      <c r="K125" s="6" t="s">
        <v>2671</v>
      </c>
      <c r="L125" s="6" t="s">
        <v>3212</v>
      </c>
      <c r="M125" s="9" t="s">
        <v>3396</v>
      </c>
      <c r="N125" s="5" t="str">
        <f t="shared" ref="N125" si="113">TEXT(H125,"DD-MMM-YYY")</f>
        <v>18-Mar-1986</v>
      </c>
      <c r="O125" s="6" t="s">
        <v>3878</v>
      </c>
    </row>
    <row r="126" spans="1:15" x14ac:dyDescent="0.35">
      <c r="A126" s="3" t="s">
        <v>199</v>
      </c>
      <c r="B126" s="3" t="s">
        <v>46</v>
      </c>
      <c r="C126" s="3" t="s">
        <v>131</v>
      </c>
      <c r="D126" s="3" t="s">
        <v>48</v>
      </c>
      <c r="E126" s="3" t="s">
        <v>49</v>
      </c>
      <c r="F126" s="3" t="s">
        <v>445</v>
      </c>
      <c r="G126" s="3" t="s">
        <v>446</v>
      </c>
      <c r="H126" s="4">
        <v>31920</v>
      </c>
      <c r="I126" s="6" t="s">
        <v>2297</v>
      </c>
      <c r="J126" s="6" t="s">
        <v>2479</v>
      </c>
      <c r="K126" s="6" t="s">
        <v>2672</v>
      </c>
      <c r="L126" s="6" t="s">
        <v>3239</v>
      </c>
      <c r="M126" s="9" t="s">
        <v>3397</v>
      </c>
      <c r="N126" s="5" t="str">
        <f t="shared" ref="N126" si="114">TEXT(H126, "DD-MMM-YYY")</f>
        <v>23-May-1987</v>
      </c>
      <c r="O126" s="6" t="s">
        <v>3879</v>
      </c>
    </row>
    <row r="127" spans="1:15" x14ac:dyDescent="0.35">
      <c r="A127" s="3" t="s">
        <v>203</v>
      </c>
      <c r="B127" s="3" t="s">
        <v>60</v>
      </c>
      <c r="C127" s="3" t="s">
        <v>137</v>
      </c>
      <c r="D127" s="3" t="s">
        <v>62</v>
      </c>
      <c r="E127" s="3" t="s">
        <v>63</v>
      </c>
      <c r="F127" s="3" t="s">
        <v>447</v>
      </c>
      <c r="G127" s="3" t="s">
        <v>448</v>
      </c>
      <c r="H127" s="4">
        <v>32352</v>
      </c>
      <c r="I127" s="6" t="s">
        <v>2298</v>
      </c>
      <c r="J127" s="6" t="s">
        <v>2480</v>
      </c>
      <c r="K127" s="6" t="s">
        <v>2673</v>
      </c>
      <c r="L127" s="6" t="s">
        <v>3241</v>
      </c>
      <c r="M127" s="9" t="s">
        <v>3398</v>
      </c>
      <c r="N127" s="5" t="str">
        <f t="shared" ref="N127" si="115">TEXT(H127,"DD-MMM-YYY")</f>
        <v>28-Jul-1988</v>
      </c>
      <c r="O127" s="6" t="s">
        <v>3880</v>
      </c>
    </row>
    <row r="128" spans="1:15" x14ac:dyDescent="0.35">
      <c r="A128" s="3" t="s">
        <v>207</v>
      </c>
      <c r="B128" s="3" t="s">
        <v>74</v>
      </c>
      <c r="C128" s="3" t="s">
        <v>144</v>
      </c>
      <c r="D128" s="3" t="s">
        <v>76</v>
      </c>
      <c r="E128" s="3" t="s">
        <v>77</v>
      </c>
      <c r="F128" s="3" t="s">
        <v>449</v>
      </c>
      <c r="G128" s="3" t="s">
        <v>450</v>
      </c>
      <c r="H128" s="4">
        <v>32756</v>
      </c>
      <c r="I128" s="6" t="s">
        <v>2299</v>
      </c>
      <c r="J128" s="6" t="s">
        <v>2481</v>
      </c>
      <c r="K128" s="6" t="s">
        <v>2674</v>
      </c>
      <c r="L128" s="6" t="s">
        <v>3242</v>
      </c>
      <c r="M128" s="9" t="s">
        <v>3399</v>
      </c>
      <c r="N128" s="5" t="str">
        <f t="shared" ref="N128" si="116">TEXT(H128, "DD-MMM-YYY")</f>
        <v>05-Sept-1989</v>
      </c>
      <c r="O128" s="6" t="s">
        <v>3881</v>
      </c>
    </row>
    <row r="129" spans="1:15" x14ac:dyDescent="0.35">
      <c r="A129" s="3" t="s">
        <v>211</v>
      </c>
      <c r="B129" s="3" t="s">
        <v>88</v>
      </c>
      <c r="C129" s="3" t="s">
        <v>151</v>
      </c>
      <c r="D129" s="3" t="s">
        <v>90</v>
      </c>
      <c r="E129" s="3" t="s">
        <v>91</v>
      </c>
      <c r="F129" s="3" t="s">
        <v>451</v>
      </c>
      <c r="G129" s="3" t="s">
        <v>452</v>
      </c>
      <c r="H129" s="4">
        <v>33187</v>
      </c>
      <c r="I129" s="6" t="s">
        <v>2300</v>
      </c>
      <c r="J129" s="6" t="s">
        <v>2482</v>
      </c>
      <c r="K129" s="6" t="s">
        <v>2675</v>
      </c>
      <c r="L129" s="6" t="s">
        <v>3243</v>
      </c>
      <c r="M129" s="9" t="s">
        <v>3400</v>
      </c>
      <c r="N129" s="5" t="str">
        <f t="shared" ref="N129" si="117">TEXT(H129,"DD-MMM-YYY")</f>
        <v>10-Nov-1990</v>
      </c>
      <c r="O129" s="6" t="s">
        <v>3882</v>
      </c>
    </row>
    <row r="130" spans="1:15" x14ac:dyDescent="0.35">
      <c r="A130" s="3" t="s">
        <v>215</v>
      </c>
      <c r="B130" s="3" t="s">
        <v>102</v>
      </c>
      <c r="C130" s="3" t="s">
        <v>158</v>
      </c>
      <c r="D130" s="3" t="s">
        <v>104</v>
      </c>
      <c r="E130" s="3" t="s">
        <v>105</v>
      </c>
      <c r="F130" s="3" t="s">
        <v>453</v>
      </c>
      <c r="G130" s="3" t="s">
        <v>454</v>
      </c>
      <c r="H130" s="4">
        <v>33253</v>
      </c>
      <c r="I130" s="6" t="s">
        <v>2301</v>
      </c>
      <c r="J130" s="6" t="s">
        <v>2483</v>
      </c>
      <c r="K130" s="6" t="s">
        <v>2676</v>
      </c>
      <c r="L130" s="6" t="s">
        <v>3153</v>
      </c>
      <c r="M130" s="9" t="s">
        <v>3401</v>
      </c>
      <c r="N130" s="5" t="str">
        <f t="shared" ref="N130" si="118">TEXT(H130, "DD-MMM-YYY")</f>
        <v>15-Jan-1991</v>
      </c>
      <c r="O130" s="6" t="s">
        <v>3883</v>
      </c>
    </row>
    <row r="131" spans="1:15" x14ac:dyDescent="0.35">
      <c r="A131" s="3" t="s">
        <v>219</v>
      </c>
      <c r="B131" s="3" t="s">
        <v>109</v>
      </c>
      <c r="C131" s="3" t="s">
        <v>164</v>
      </c>
      <c r="D131" s="3" t="s">
        <v>111</v>
      </c>
      <c r="E131" s="3" t="s">
        <v>112</v>
      </c>
      <c r="F131" s="3" t="s">
        <v>455</v>
      </c>
      <c r="G131" s="3" t="s">
        <v>456</v>
      </c>
      <c r="H131" s="4">
        <v>33683</v>
      </c>
      <c r="I131" s="6" t="s">
        <v>2302</v>
      </c>
      <c r="J131" s="6" t="s">
        <v>2484</v>
      </c>
      <c r="K131" s="6" t="s">
        <v>2677</v>
      </c>
      <c r="L131" s="6" t="s">
        <v>3151</v>
      </c>
      <c r="M131" s="9" t="s">
        <v>3402</v>
      </c>
      <c r="N131" s="5" t="str">
        <f t="shared" ref="N131" si="119">TEXT(H131,"DD-MMM-YYY")</f>
        <v>20-Mar-1992</v>
      </c>
      <c r="O131" s="6" t="s">
        <v>3884</v>
      </c>
    </row>
    <row r="132" spans="1:15" x14ac:dyDescent="0.35">
      <c r="A132" s="3" t="s">
        <v>223</v>
      </c>
      <c r="B132" s="3" t="s">
        <v>116</v>
      </c>
      <c r="C132" s="3" t="s">
        <v>19</v>
      </c>
      <c r="D132" s="3" t="s">
        <v>118</v>
      </c>
      <c r="E132" s="3" t="s">
        <v>119</v>
      </c>
      <c r="F132" s="3" t="s">
        <v>457</v>
      </c>
      <c r="G132" s="3" t="s">
        <v>458</v>
      </c>
      <c r="H132" s="4">
        <v>34114</v>
      </c>
      <c r="I132" s="6" t="s">
        <v>2303</v>
      </c>
      <c r="J132" s="6" t="s">
        <v>2485</v>
      </c>
      <c r="K132" s="6" t="s">
        <v>2678</v>
      </c>
      <c r="L132" s="6" t="s">
        <v>3228</v>
      </c>
      <c r="M132" s="9" t="s">
        <v>3403</v>
      </c>
      <c r="N132" s="5" t="str">
        <f t="shared" ref="N132" si="120">TEXT(H132, "DD-MMM-YYY")</f>
        <v>25-May-1993</v>
      </c>
      <c r="O132" s="6" t="s">
        <v>30</v>
      </c>
    </row>
    <row r="133" spans="1:15" x14ac:dyDescent="0.35">
      <c r="A133" s="3" t="s">
        <v>227</v>
      </c>
      <c r="B133" s="3" t="s">
        <v>123</v>
      </c>
      <c r="C133" s="3" t="s">
        <v>33</v>
      </c>
      <c r="D133" s="3" t="s">
        <v>125</v>
      </c>
      <c r="E133" s="3" t="s">
        <v>126</v>
      </c>
      <c r="F133" s="3" t="s">
        <v>459</v>
      </c>
      <c r="G133" s="3" t="s">
        <v>460</v>
      </c>
      <c r="H133" s="4">
        <v>34517</v>
      </c>
      <c r="I133" s="6" t="s">
        <v>2304</v>
      </c>
      <c r="J133" s="6" t="s">
        <v>2486</v>
      </c>
      <c r="K133" s="6" t="s">
        <v>2679</v>
      </c>
      <c r="L133" s="6" t="s">
        <v>3211</v>
      </c>
      <c r="M133" s="9" t="s">
        <v>3404</v>
      </c>
      <c r="N133" s="5" t="str">
        <f t="shared" ref="N133" si="121">TEXT(H133,"DD-MMM-YYY")</f>
        <v>02-Jul-1994</v>
      </c>
      <c r="O133" s="6" t="s">
        <v>44</v>
      </c>
    </row>
    <row r="134" spans="1:15" x14ac:dyDescent="0.35">
      <c r="A134" s="3" t="s">
        <v>231</v>
      </c>
      <c r="B134" s="3" t="s">
        <v>130</v>
      </c>
      <c r="C134" s="3" t="s">
        <v>47</v>
      </c>
      <c r="D134" s="3" t="s">
        <v>132</v>
      </c>
      <c r="E134" s="3" t="s">
        <v>126</v>
      </c>
      <c r="F134" s="3" t="s">
        <v>461</v>
      </c>
      <c r="G134" s="3" t="s">
        <v>462</v>
      </c>
      <c r="H134" s="4">
        <v>34949</v>
      </c>
      <c r="I134" s="6" t="s">
        <v>2305</v>
      </c>
      <c r="J134" s="6" t="s">
        <v>2487</v>
      </c>
      <c r="K134" s="6" t="s">
        <v>2680</v>
      </c>
      <c r="L134" s="6" t="s">
        <v>3190</v>
      </c>
      <c r="M134" s="9" t="s">
        <v>3405</v>
      </c>
      <c r="N134" s="5" t="str">
        <f t="shared" ref="N134" si="122">TEXT(H134, "DD-MMM-YYY")</f>
        <v>07-Sept-1995</v>
      </c>
      <c r="O134" s="6" t="s">
        <v>58</v>
      </c>
    </row>
    <row r="135" spans="1:15" x14ac:dyDescent="0.35">
      <c r="A135" s="3" t="s">
        <v>235</v>
      </c>
      <c r="B135" s="3" t="s">
        <v>136</v>
      </c>
      <c r="C135" s="3" t="s">
        <v>61</v>
      </c>
      <c r="D135" s="3" t="s">
        <v>138</v>
      </c>
      <c r="E135" s="3" t="s">
        <v>139</v>
      </c>
      <c r="F135" s="3" t="s">
        <v>463</v>
      </c>
      <c r="G135" s="3" t="s">
        <v>464</v>
      </c>
      <c r="H135" s="4">
        <v>35381</v>
      </c>
      <c r="I135" s="6" t="s">
        <v>2306</v>
      </c>
      <c r="J135" s="6" t="s">
        <v>1573</v>
      </c>
      <c r="K135" s="6" t="s">
        <v>2681</v>
      </c>
      <c r="L135" s="6" t="s">
        <v>3243</v>
      </c>
      <c r="M135" s="9" t="s">
        <v>3406</v>
      </c>
      <c r="N135" s="5" t="str">
        <f t="shared" ref="N135" si="123">TEXT(H135,"DD-MMM-YYY")</f>
        <v>12-Nov-1996</v>
      </c>
      <c r="O135" s="6" t="s">
        <v>72</v>
      </c>
    </row>
    <row r="136" spans="1:15" x14ac:dyDescent="0.35">
      <c r="A136" s="3" t="s">
        <v>239</v>
      </c>
      <c r="B136" s="3" t="s">
        <v>143</v>
      </c>
      <c r="C136" s="3" t="s">
        <v>75</v>
      </c>
      <c r="D136" s="3" t="s">
        <v>145</v>
      </c>
      <c r="E136" s="3" t="s">
        <v>146</v>
      </c>
      <c r="F136" s="3" t="s">
        <v>465</v>
      </c>
      <c r="G136" s="3" t="s">
        <v>466</v>
      </c>
      <c r="H136" s="4">
        <v>35447</v>
      </c>
      <c r="I136" s="6" t="s">
        <v>2307</v>
      </c>
      <c r="J136" s="6" t="s">
        <v>2488</v>
      </c>
      <c r="K136" s="6" t="s">
        <v>2682</v>
      </c>
      <c r="L136" s="6" t="s">
        <v>3244</v>
      </c>
      <c r="M136" s="9" t="s">
        <v>3407</v>
      </c>
      <c r="N136" s="5" t="str">
        <f t="shared" ref="N136" si="124">TEXT(H136, "DD-MMM-YYY")</f>
        <v>17-Jan-1997</v>
      </c>
      <c r="O136" s="6" t="s">
        <v>86</v>
      </c>
    </row>
    <row r="137" spans="1:15" x14ac:dyDescent="0.35">
      <c r="A137" s="3" t="s">
        <v>243</v>
      </c>
      <c r="B137" s="3" t="s">
        <v>150</v>
      </c>
      <c r="C137" s="3" t="s">
        <v>89</v>
      </c>
      <c r="D137" s="3" t="s">
        <v>152</v>
      </c>
      <c r="E137" s="3" t="s">
        <v>153</v>
      </c>
      <c r="F137" s="3" t="s">
        <v>467</v>
      </c>
      <c r="G137" s="3" t="s">
        <v>468</v>
      </c>
      <c r="H137" s="4">
        <v>35876</v>
      </c>
      <c r="I137" s="6" t="s">
        <v>2308</v>
      </c>
      <c r="J137" s="6" t="s">
        <v>2489</v>
      </c>
      <c r="K137" s="6" t="s">
        <v>2683</v>
      </c>
      <c r="L137" s="6" t="s">
        <v>3245</v>
      </c>
      <c r="M137" s="9" t="s">
        <v>3408</v>
      </c>
      <c r="N137" s="5" t="str">
        <f t="shared" ref="N137" si="125">TEXT(H137,"DD-MMM-YYY")</f>
        <v>22-Mar-1998</v>
      </c>
      <c r="O137" s="6" t="s">
        <v>100</v>
      </c>
    </row>
    <row r="138" spans="1:15" x14ac:dyDescent="0.35">
      <c r="A138" s="3" t="s">
        <v>247</v>
      </c>
      <c r="B138" s="3" t="s">
        <v>157</v>
      </c>
      <c r="C138" s="3" t="s">
        <v>103</v>
      </c>
      <c r="D138" s="3" t="s">
        <v>159</v>
      </c>
      <c r="E138" s="3" t="s">
        <v>77</v>
      </c>
      <c r="F138" s="3" t="s">
        <v>469</v>
      </c>
      <c r="G138" s="3" t="s">
        <v>470</v>
      </c>
      <c r="H138" s="4">
        <v>36307</v>
      </c>
      <c r="I138" s="6" t="s">
        <v>2309</v>
      </c>
      <c r="J138" s="6" t="s">
        <v>2490</v>
      </c>
      <c r="K138" s="6" t="s">
        <v>2684</v>
      </c>
      <c r="L138" s="6" t="s">
        <v>3246</v>
      </c>
      <c r="M138" s="9" t="s">
        <v>3409</v>
      </c>
      <c r="N138" s="5" t="str">
        <f t="shared" ref="N138" si="126">TEXT(H138, "DD-MMM-YYY")</f>
        <v>27-May-1999</v>
      </c>
      <c r="O138" s="6" t="s">
        <v>3875</v>
      </c>
    </row>
    <row r="139" spans="1:15" x14ac:dyDescent="0.35">
      <c r="A139" s="3" t="s">
        <v>251</v>
      </c>
      <c r="B139" s="3" t="s">
        <v>163</v>
      </c>
      <c r="C139" s="3" t="s">
        <v>110</v>
      </c>
      <c r="D139" s="3" t="s">
        <v>165</v>
      </c>
      <c r="E139" s="3" t="s">
        <v>166</v>
      </c>
      <c r="F139" s="3" t="s">
        <v>471</v>
      </c>
      <c r="G139" s="3" t="s">
        <v>472</v>
      </c>
      <c r="H139" s="4">
        <v>31232</v>
      </c>
      <c r="I139" s="6" t="s">
        <v>2310</v>
      </c>
      <c r="J139" s="6" t="s">
        <v>2491</v>
      </c>
      <c r="K139" s="6" t="s">
        <v>2685</v>
      </c>
      <c r="L139" s="6" t="s">
        <v>3193</v>
      </c>
      <c r="M139" s="9" t="s">
        <v>3410</v>
      </c>
      <c r="N139" s="5" t="str">
        <f t="shared" ref="N139" si="127">TEXT(H139,"DD-MMM-YYY")</f>
        <v>04-Jul-1985</v>
      </c>
      <c r="O139" s="6" t="s">
        <v>3876</v>
      </c>
    </row>
    <row r="140" spans="1:15" x14ac:dyDescent="0.35">
      <c r="A140" s="3" t="s">
        <v>255</v>
      </c>
      <c r="B140" s="3" t="s">
        <v>170</v>
      </c>
      <c r="C140" s="3" t="s">
        <v>117</v>
      </c>
      <c r="D140" s="3" t="s">
        <v>171</v>
      </c>
      <c r="E140" s="3" t="s">
        <v>172</v>
      </c>
      <c r="F140" s="3" t="s">
        <v>473</v>
      </c>
      <c r="G140" s="3" t="s">
        <v>474</v>
      </c>
      <c r="H140" s="4">
        <v>31664</v>
      </c>
      <c r="I140" s="6" t="s">
        <v>2311</v>
      </c>
      <c r="J140" s="6" t="s">
        <v>2492</v>
      </c>
      <c r="K140" s="6" t="s">
        <v>2686</v>
      </c>
      <c r="L140" s="6" t="s">
        <v>3247</v>
      </c>
      <c r="M140" s="9" t="s">
        <v>3411</v>
      </c>
      <c r="N140" s="5" t="str">
        <f t="shared" ref="N140" si="128">TEXT(H140, "DD-MMM-YYY")</f>
        <v>09-Sept-1986</v>
      </c>
      <c r="O140" s="6" t="s">
        <v>3877</v>
      </c>
    </row>
    <row r="141" spans="1:15" x14ac:dyDescent="0.35">
      <c r="A141" s="3" t="s">
        <v>259</v>
      </c>
      <c r="B141" s="3" t="s">
        <v>176</v>
      </c>
      <c r="C141" s="3" t="s">
        <v>124</v>
      </c>
      <c r="D141" s="3" t="s">
        <v>162</v>
      </c>
      <c r="E141" s="3" t="s">
        <v>63</v>
      </c>
      <c r="F141" s="3" t="s">
        <v>475</v>
      </c>
      <c r="G141" s="3" t="s">
        <v>476</v>
      </c>
      <c r="H141" s="4">
        <v>32095</v>
      </c>
      <c r="I141" s="6" t="s">
        <v>2312</v>
      </c>
      <c r="J141" s="6" t="s">
        <v>2493</v>
      </c>
      <c r="K141" s="6" t="s">
        <v>2687</v>
      </c>
      <c r="L141" s="6" t="s">
        <v>3248</v>
      </c>
      <c r="M141" s="9" t="s">
        <v>3412</v>
      </c>
      <c r="N141" s="5" t="str">
        <f t="shared" ref="N141" si="129">TEXT(H141,"DD-MMM-YYY")</f>
        <v>14-Nov-1987</v>
      </c>
      <c r="O141" s="6" t="s">
        <v>3878</v>
      </c>
    </row>
    <row r="142" spans="1:15" x14ac:dyDescent="0.35">
      <c r="A142" s="3" t="s">
        <v>263</v>
      </c>
      <c r="B142" s="3" t="s">
        <v>180</v>
      </c>
      <c r="C142" s="3" t="s">
        <v>131</v>
      </c>
      <c r="D142" s="3" t="s">
        <v>181</v>
      </c>
      <c r="E142" s="3" t="s">
        <v>182</v>
      </c>
      <c r="F142" s="3" t="s">
        <v>477</v>
      </c>
      <c r="G142" s="3" t="s">
        <v>478</v>
      </c>
      <c r="H142" s="4">
        <v>32161</v>
      </c>
      <c r="I142" s="6" t="s">
        <v>2313</v>
      </c>
      <c r="J142" s="6" t="s">
        <v>2494</v>
      </c>
      <c r="K142" s="6" t="s">
        <v>2688</v>
      </c>
      <c r="L142" s="6" t="s">
        <v>3249</v>
      </c>
      <c r="M142" s="9" t="s">
        <v>3413</v>
      </c>
      <c r="N142" s="5" t="str">
        <f t="shared" ref="N142" si="130">TEXT(H142, "DD-MMM-YYY")</f>
        <v>19-Jan-1988</v>
      </c>
      <c r="O142" s="6" t="s">
        <v>3879</v>
      </c>
    </row>
    <row r="143" spans="1:15" x14ac:dyDescent="0.35">
      <c r="A143" s="3" t="s">
        <v>267</v>
      </c>
      <c r="B143" s="3" t="s">
        <v>186</v>
      </c>
      <c r="C143" s="3" t="s">
        <v>137</v>
      </c>
      <c r="D143" s="3" t="s">
        <v>187</v>
      </c>
      <c r="E143" s="3" t="s">
        <v>188</v>
      </c>
      <c r="F143" s="3" t="s">
        <v>479</v>
      </c>
      <c r="G143" s="3" t="s">
        <v>480</v>
      </c>
      <c r="H143" s="4">
        <v>32591</v>
      </c>
      <c r="I143" s="6" t="s">
        <v>2314</v>
      </c>
      <c r="J143" s="6" t="s">
        <v>2495</v>
      </c>
      <c r="K143" s="6" t="s">
        <v>2689</v>
      </c>
      <c r="L143" s="6" t="s">
        <v>3250</v>
      </c>
      <c r="M143" s="9" t="s">
        <v>3414</v>
      </c>
      <c r="N143" s="5" t="str">
        <f t="shared" ref="N143" si="131">TEXT(H143,"DD-MMM-YYY")</f>
        <v>24-Mar-1989</v>
      </c>
      <c r="O143" s="6" t="s">
        <v>3880</v>
      </c>
    </row>
    <row r="144" spans="1:15" x14ac:dyDescent="0.35">
      <c r="A144" s="3" t="s">
        <v>271</v>
      </c>
      <c r="B144" s="3" t="s">
        <v>192</v>
      </c>
      <c r="C144" s="3" t="s">
        <v>144</v>
      </c>
      <c r="D144" s="3" t="s">
        <v>20</v>
      </c>
      <c r="E144" s="3" t="s">
        <v>21</v>
      </c>
      <c r="F144" s="3" t="s">
        <v>481</v>
      </c>
      <c r="G144" s="3" t="s">
        <v>482</v>
      </c>
      <c r="H144" s="4">
        <v>32994</v>
      </c>
      <c r="I144" s="6" t="s">
        <v>2315</v>
      </c>
      <c r="J144" s="6" t="s">
        <v>2496</v>
      </c>
      <c r="K144" s="6" t="s">
        <v>2690</v>
      </c>
      <c r="L144" s="6" t="s">
        <v>3232</v>
      </c>
      <c r="M144" s="9" t="s">
        <v>3415</v>
      </c>
      <c r="N144" s="5" t="str">
        <f t="shared" ref="N144" si="132">TEXT(H144, "DD-MMM-YYY")</f>
        <v>01-May-1990</v>
      </c>
      <c r="O144" s="6" t="s">
        <v>3881</v>
      </c>
    </row>
    <row r="145" spans="1:15" x14ac:dyDescent="0.35">
      <c r="A145" s="3" t="s">
        <v>274</v>
      </c>
      <c r="B145" s="3" t="s">
        <v>196</v>
      </c>
      <c r="C145" s="3" t="s">
        <v>151</v>
      </c>
      <c r="D145" s="3" t="s">
        <v>34</v>
      </c>
      <c r="E145" s="3" t="s">
        <v>35</v>
      </c>
      <c r="F145" s="3" t="s">
        <v>483</v>
      </c>
      <c r="G145" s="3" t="s">
        <v>484</v>
      </c>
      <c r="H145" s="4">
        <v>33425</v>
      </c>
      <c r="I145" s="6" t="s">
        <v>2316</v>
      </c>
      <c r="J145" s="6" t="s">
        <v>1702</v>
      </c>
      <c r="K145" s="6" t="s">
        <v>2691</v>
      </c>
      <c r="L145" s="6" t="s">
        <v>3251</v>
      </c>
      <c r="M145" s="9" t="s">
        <v>3416</v>
      </c>
      <c r="N145" s="5" t="str">
        <f t="shared" ref="N145" si="133">TEXT(H145,"DD-MMM-YYY")</f>
        <v>06-Jul-1991</v>
      </c>
      <c r="O145" s="6" t="s">
        <v>3882</v>
      </c>
    </row>
    <row r="146" spans="1:15" x14ac:dyDescent="0.35">
      <c r="A146" s="3" t="s">
        <v>277</v>
      </c>
      <c r="B146" s="3" t="s">
        <v>200</v>
      </c>
      <c r="C146" s="3" t="s">
        <v>158</v>
      </c>
      <c r="D146" s="3" t="s">
        <v>48</v>
      </c>
      <c r="E146" s="3" t="s">
        <v>49</v>
      </c>
      <c r="F146" s="3" t="s">
        <v>485</v>
      </c>
      <c r="G146" s="3" t="s">
        <v>486</v>
      </c>
      <c r="H146" s="4">
        <v>33858</v>
      </c>
      <c r="I146" s="6" t="s">
        <v>2317</v>
      </c>
      <c r="J146" s="6" t="s">
        <v>2497</v>
      </c>
      <c r="K146" s="6" t="s">
        <v>2692</v>
      </c>
      <c r="L146" s="6" t="s">
        <v>3252</v>
      </c>
      <c r="M146" s="9" t="s">
        <v>3417</v>
      </c>
      <c r="N146" s="5" t="str">
        <f t="shared" ref="N146" si="134">TEXT(H146, "DD-MMM-YYY")</f>
        <v>11-Sept-1992</v>
      </c>
      <c r="O146" s="6" t="s">
        <v>3883</v>
      </c>
    </row>
    <row r="147" spans="1:15" x14ac:dyDescent="0.35">
      <c r="A147" s="3" t="s">
        <v>280</v>
      </c>
      <c r="B147" s="3" t="s">
        <v>204</v>
      </c>
      <c r="C147" s="3" t="s">
        <v>164</v>
      </c>
      <c r="D147" s="3" t="s">
        <v>62</v>
      </c>
      <c r="E147" s="3" t="s">
        <v>63</v>
      </c>
      <c r="F147" s="3" t="s">
        <v>487</v>
      </c>
      <c r="G147" s="3" t="s">
        <v>488</v>
      </c>
      <c r="H147" s="4">
        <v>34289</v>
      </c>
      <c r="I147" s="6" t="s">
        <v>2318</v>
      </c>
      <c r="J147" s="6" t="s">
        <v>2498</v>
      </c>
      <c r="K147" s="6" t="s">
        <v>2693</v>
      </c>
      <c r="L147" s="6" t="s">
        <v>3253</v>
      </c>
      <c r="M147" s="9" t="s">
        <v>3418</v>
      </c>
      <c r="N147" s="5" t="str">
        <f t="shared" ref="N147" si="135">TEXT(H147,"DD-MMM-YYY")</f>
        <v>16-Nov-1993</v>
      </c>
      <c r="O147" s="6" t="s">
        <v>3884</v>
      </c>
    </row>
    <row r="148" spans="1:15" x14ac:dyDescent="0.35">
      <c r="A148" s="3" t="s">
        <v>283</v>
      </c>
      <c r="B148" s="3" t="s">
        <v>208</v>
      </c>
      <c r="C148" s="3" t="s">
        <v>19</v>
      </c>
      <c r="D148" s="3" t="s">
        <v>76</v>
      </c>
      <c r="E148" s="3" t="s">
        <v>77</v>
      </c>
      <c r="F148" s="3" t="s">
        <v>489</v>
      </c>
      <c r="G148" s="3" t="s">
        <v>490</v>
      </c>
      <c r="H148" s="4">
        <v>34355</v>
      </c>
      <c r="I148" s="6" t="s">
        <v>2319</v>
      </c>
      <c r="J148" s="6" t="s">
        <v>2499</v>
      </c>
      <c r="K148" s="6" t="s">
        <v>2694</v>
      </c>
      <c r="L148" s="6" t="s">
        <v>3254</v>
      </c>
      <c r="M148" s="9" t="s">
        <v>3419</v>
      </c>
      <c r="N148" s="5" t="str">
        <f t="shared" ref="N148" si="136">TEXT(H148, "DD-MMM-YYY")</f>
        <v>21-Jan-1994</v>
      </c>
      <c r="O148" s="6" t="s">
        <v>30</v>
      </c>
    </row>
    <row r="149" spans="1:15" x14ac:dyDescent="0.35">
      <c r="A149" s="3" t="s">
        <v>286</v>
      </c>
      <c r="B149" s="3" t="s">
        <v>212</v>
      </c>
      <c r="C149" s="3" t="s">
        <v>33</v>
      </c>
      <c r="D149" s="3" t="s">
        <v>90</v>
      </c>
      <c r="E149" s="3" t="s">
        <v>91</v>
      </c>
      <c r="F149" s="3" t="s">
        <v>491</v>
      </c>
      <c r="G149" s="3" t="s">
        <v>492</v>
      </c>
      <c r="H149" s="4">
        <v>34784</v>
      </c>
      <c r="I149" s="6" t="s">
        <v>2320</v>
      </c>
      <c r="J149" s="6" t="s">
        <v>2500</v>
      </c>
      <c r="K149" s="6" t="s">
        <v>2695</v>
      </c>
      <c r="L149" s="6" t="s">
        <v>3165</v>
      </c>
      <c r="M149" s="9" t="s">
        <v>3420</v>
      </c>
      <c r="N149" s="5" t="str">
        <f t="shared" ref="N149" si="137">TEXT(H149,"DD-MMM-YYY")</f>
        <v>26-Mar-1995</v>
      </c>
      <c r="O149" s="6" t="s">
        <v>44</v>
      </c>
    </row>
    <row r="150" spans="1:15" x14ac:dyDescent="0.35">
      <c r="A150" s="3" t="s">
        <v>289</v>
      </c>
      <c r="B150" s="3" t="s">
        <v>216</v>
      </c>
      <c r="C150" s="3" t="s">
        <v>47</v>
      </c>
      <c r="D150" s="3" t="s">
        <v>104</v>
      </c>
      <c r="E150" s="3" t="s">
        <v>105</v>
      </c>
      <c r="F150" s="3" t="s">
        <v>493</v>
      </c>
      <c r="G150" s="3" t="s">
        <v>494</v>
      </c>
      <c r="H150" s="4">
        <v>35188</v>
      </c>
      <c r="I150" s="6" t="s">
        <v>2321</v>
      </c>
      <c r="J150" s="6" t="s">
        <v>2501</v>
      </c>
      <c r="K150" s="6" t="s">
        <v>2696</v>
      </c>
      <c r="L150" s="6" t="s">
        <v>3155</v>
      </c>
      <c r="M150" s="9" t="s">
        <v>3421</v>
      </c>
      <c r="N150" s="5" t="str">
        <f t="shared" ref="N150" si="138">TEXT(H150, "DD-MMM-YYY")</f>
        <v>03-May-1996</v>
      </c>
      <c r="O150" s="6" t="s">
        <v>58</v>
      </c>
    </row>
    <row r="151" spans="1:15" x14ac:dyDescent="0.35">
      <c r="A151" s="3" t="s">
        <v>292</v>
      </c>
      <c r="B151" s="3" t="s">
        <v>220</v>
      </c>
      <c r="C151" s="3" t="s">
        <v>61</v>
      </c>
      <c r="D151" s="3" t="s">
        <v>111</v>
      </c>
      <c r="E151" s="3" t="s">
        <v>112</v>
      </c>
      <c r="F151" s="3" t="s">
        <v>495</v>
      </c>
      <c r="G151" s="3" t="s">
        <v>496</v>
      </c>
      <c r="H151" s="4">
        <v>35619</v>
      </c>
      <c r="I151" s="6" t="s">
        <v>2322</v>
      </c>
      <c r="J151" s="6" t="s">
        <v>2502</v>
      </c>
      <c r="K151" s="6" t="s">
        <v>2697</v>
      </c>
      <c r="L151" s="6" t="s">
        <v>3255</v>
      </c>
      <c r="M151" s="9" t="s">
        <v>3422</v>
      </c>
      <c r="N151" s="5" t="str">
        <f t="shared" ref="N151" si="139">TEXT(H151,"DD-MMM-YYY")</f>
        <v>08-Jul-1997</v>
      </c>
      <c r="O151" s="6" t="s">
        <v>72</v>
      </c>
    </row>
    <row r="152" spans="1:15" x14ac:dyDescent="0.35">
      <c r="A152" s="3" t="s">
        <v>295</v>
      </c>
      <c r="B152" s="3" t="s">
        <v>224</v>
      </c>
      <c r="C152" s="3" t="s">
        <v>75</v>
      </c>
      <c r="D152" s="3" t="s">
        <v>118</v>
      </c>
      <c r="E152" s="3" t="s">
        <v>119</v>
      </c>
      <c r="F152" s="3" t="s">
        <v>497</v>
      </c>
      <c r="G152" s="3" t="s">
        <v>498</v>
      </c>
      <c r="H152" s="4">
        <v>36051</v>
      </c>
      <c r="I152" s="6" t="s">
        <v>2323</v>
      </c>
      <c r="J152" s="6" t="s">
        <v>2503</v>
      </c>
      <c r="K152" s="6" t="s">
        <v>2698</v>
      </c>
      <c r="L152" s="6" t="s">
        <v>3172</v>
      </c>
      <c r="M152" s="9" t="s">
        <v>3423</v>
      </c>
      <c r="N152" s="5" t="str">
        <f t="shared" ref="N152" si="140">TEXT(H152, "DD-MMM-YYY")</f>
        <v>13-Sept-1998</v>
      </c>
      <c r="O152" s="6" t="s">
        <v>86</v>
      </c>
    </row>
    <row r="153" spans="1:15" x14ac:dyDescent="0.35">
      <c r="A153" s="3" t="s">
        <v>298</v>
      </c>
      <c r="B153" s="3" t="s">
        <v>228</v>
      </c>
      <c r="C153" s="3" t="s">
        <v>89</v>
      </c>
      <c r="D153" s="3" t="s">
        <v>125</v>
      </c>
      <c r="E153" s="3" t="s">
        <v>126</v>
      </c>
      <c r="F153" s="3" t="s">
        <v>499</v>
      </c>
      <c r="G153" s="3" t="s">
        <v>500</v>
      </c>
      <c r="H153" s="4">
        <v>36482</v>
      </c>
      <c r="I153" s="6" t="s">
        <v>2324</v>
      </c>
      <c r="J153" s="6" t="s">
        <v>2504</v>
      </c>
      <c r="K153" s="6" t="s">
        <v>2699</v>
      </c>
      <c r="L153" s="6" t="s">
        <v>3162</v>
      </c>
      <c r="M153" s="9" t="s">
        <v>3424</v>
      </c>
      <c r="N153" s="5" t="str">
        <f t="shared" ref="N153" si="141">TEXT(H153,"DD-MMM-YYY")</f>
        <v>18-Nov-1999</v>
      </c>
      <c r="O153" s="6" t="s">
        <v>100</v>
      </c>
    </row>
    <row r="154" spans="1:15" x14ac:dyDescent="0.35">
      <c r="A154" s="3" t="s">
        <v>17</v>
      </c>
      <c r="B154" s="3" t="s">
        <v>232</v>
      </c>
      <c r="C154" s="3" t="s">
        <v>103</v>
      </c>
      <c r="D154" s="3" t="s">
        <v>132</v>
      </c>
      <c r="E154" s="3" t="s">
        <v>126</v>
      </c>
      <c r="F154" s="3" t="s">
        <v>501</v>
      </c>
      <c r="G154" s="3" t="s">
        <v>502</v>
      </c>
      <c r="H154" s="4">
        <v>31070</v>
      </c>
      <c r="I154" s="6" t="s">
        <v>2325</v>
      </c>
      <c r="J154" s="6" t="s">
        <v>2505</v>
      </c>
      <c r="K154" s="6" t="s">
        <v>2700</v>
      </c>
      <c r="L154" s="6" t="s">
        <v>3170</v>
      </c>
      <c r="M154" s="9" t="s">
        <v>3425</v>
      </c>
      <c r="N154" s="5" t="str">
        <f t="shared" ref="N154" si="142">TEXT(H154, "DD-MMM-YYY")</f>
        <v>23-Jan-1985</v>
      </c>
      <c r="O154" s="6" t="s">
        <v>3875</v>
      </c>
    </row>
    <row r="155" spans="1:15" x14ac:dyDescent="0.35">
      <c r="A155" s="3" t="s">
        <v>31</v>
      </c>
      <c r="B155" s="3" t="s">
        <v>236</v>
      </c>
      <c r="C155" s="3" t="s">
        <v>110</v>
      </c>
      <c r="D155" s="3" t="s">
        <v>138</v>
      </c>
      <c r="E155" s="3" t="s">
        <v>139</v>
      </c>
      <c r="F155" s="3" t="s">
        <v>503</v>
      </c>
      <c r="G155" s="3" t="s">
        <v>504</v>
      </c>
      <c r="H155" s="4">
        <v>31499</v>
      </c>
      <c r="I155" s="6" t="s">
        <v>2326</v>
      </c>
      <c r="J155" s="6" t="s">
        <v>1633</v>
      </c>
      <c r="K155" s="6" t="s">
        <v>2701</v>
      </c>
      <c r="L155" s="6" t="s">
        <v>3256</v>
      </c>
      <c r="M155" s="9" t="s">
        <v>3426</v>
      </c>
      <c r="N155" s="5" t="str">
        <f t="shared" ref="N155" si="143">TEXT(H155,"DD-MMM-YYY")</f>
        <v>28-Mar-1986</v>
      </c>
      <c r="O155" s="6" t="s">
        <v>3876</v>
      </c>
    </row>
    <row r="156" spans="1:15" x14ac:dyDescent="0.35">
      <c r="A156" s="3" t="s">
        <v>45</v>
      </c>
      <c r="B156" s="3" t="s">
        <v>240</v>
      </c>
      <c r="C156" s="3" t="s">
        <v>117</v>
      </c>
      <c r="D156" s="3" t="s">
        <v>145</v>
      </c>
      <c r="E156" s="3" t="s">
        <v>146</v>
      </c>
      <c r="F156" s="3" t="s">
        <v>505</v>
      </c>
      <c r="G156" s="3" t="s">
        <v>506</v>
      </c>
      <c r="H156" s="4">
        <v>31902</v>
      </c>
      <c r="I156" s="6" t="s">
        <v>2327</v>
      </c>
      <c r="J156" s="6" t="s">
        <v>2506</v>
      </c>
      <c r="K156" s="6" t="s">
        <v>2702</v>
      </c>
      <c r="L156" s="6" t="s">
        <v>3168</v>
      </c>
      <c r="M156" s="9" t="s">
        <v>3427</v>
      </c>
      <c r="N156" s="5" t="str">
        <f t="shared" ref="N156" si="144">TEXT(H156, "DD-MMM-YYY")</f>
        <v>05-May-1987</v>
      </c>
      <c r="O156" s="6" t="s">
        <v>3877</v>
      </c>
    </row>
    <row r="157" spans="1:15" x14ac:dyDescent="0.35">
      <c r="A157" s="3" t="s">
        <v>59</v>
      </c>
      <c r="B157" s="3" t="s">
        <v>244</v>
      </c>
      <c r="C157" s="3" t="s">
        <v>124</v>
      </c>
      <c r="D157" s="3" t="s">
        <v>152</v>
      </c>
      <c r="E157" s="3" t="s">
        <v>153</v>
      </c>
      <c r="F157" s="3" t="s">
        <v>507</v>
      </c>
      <c r="G157" s="3" t="s">
        <v>508</v>
      </c>
      <c r="H157" s="4">
        <v>32334</v>
      </c>
      <c r="I157" s="6" t="s">
        <v>2328</v>
      </c>
      <c r="J157" s="6" t="s">
        <v>2507</v>
      </c>
      <c r="K157" s="6" t="s">
        <v>2703</v>
      </c>
      <c r="L157" s="6" t="s">
        <v>3235</v>
      </c>
      <c r="M157" s="9" t="s">
        <v>3428</v>
      </c>
      <c r="N157" s="5" t="str">
        <f t="shared" ref="N157" si="145">TEXT(H157,"DD-MMM-YYY")</f>
        <v>10-Jul-1988</v>
      </c>
      <c r="O157" s="6" t="s">
        <v>3878</v>
      </c>
    </row>
    <row r="158" spans="1:15" x14ac:dyDescent="0.35">
      <c r="A158" s="3" t="s">
        <v>73</v>
      </c>
      <c r="B158" s="3" t="s">
        <v>248</v>
      </c>
      <c r="C158" s="3" t="s">
        <v>131</v>
      </c>
      <c r="D158" s="3" t="s">
        <v>159</v>
      </c>
      <c r="E158" s="3" t="s">
        <v>77</v>
      </c>
      <c r="F158" s="3" t="s">
        <v>509</v>
      </c>
      <c r="G158" s="3" t="s">
        <v>510</v>
      </c>
      <c r="H158" s="4">
        <v>32766</v>
      </c>
      <c r="I158" s="6" t="s">
        <v>2329</v>
      </c>
      <c r="J158" s="6" t="s">
        <v>2508</v>
      </c>
      <c r="K158" s="6" t="s">
        <v>2704</v>
      </c>
      <c r="L158" s="6" t="s">
        <v>3257</v>
      </c>
      <c r="M158" s="9" t="s">
        <v>3429</v>
      </c>
      <c r="N158" s="5" t="str">
        <f t="shared" ref="N158" si="146">TEXT(H158, "DD-MMM-YYY")</f>
        <v>15-Sept-1989</v>
      </c>
      <c r="O158" s="6" t="s">
        <v>3879</v>
      </c>
    </row>
    <row r="159" spans="1:15" x14ac:dyDescent="0.35">
      <c r="A159" s="3" t="s">
        <v>87</v>
      </c>
      <c r="B159" s="3" t="s">
        <v>252</v>
      </c>
      <c r="C159" s="3" t="s">
        <v>137</v>
      </c>
      <c r="D159" s="3" t="s">
        <v>165</v>
      </c>
      <c r="E159" s="3" t="s">
        <v>166</v>
      </c>
      <c r="F159" s="3" t="s">
        <v>511</v>
      </c>
      <c r="G159" s="3" t="s">
        <v>512</v>
      </c>
      <c r="H159" s="4">
        <v>33197</v>
      </c>
      <c r="I159" s="6" t="s">
        <v>2330</v>
      </c>
      <c r="J159" s="6" t="s">
        <v>2509</v>
      </c>
      <c r="K159" s="6" t="s">
        <v>2705</v>
      </c>
      <c r="L159" s="6" t="s">
        <v>3258</v>
      </c>
      <c r="M159" s="9" t="s">
        <v>3430</v>
      </c>
      <c r="N159" s="5" t="str">
        <f t="shared" ref="N159" si="147">TEXT(H159,"DD-MMM-YYY")</f>
        <v>20-Nov-1990</v>
      </c>
      <c r="O159" s="6" t="s">
        <v>3880</v>
      </c>
    </row>
    <row r="160" spans="1:15" x14ac:dyDescent="0.35">
      <c r="A160" s="3" t="s">
        <v>101</v>
      </c>
      <c r="B160" s="3" t="s">
        <v>256</v>
      </c>
      <c r="C160" s="3" t="s">
        <v>144</v>
      </c>
      <c r="D160" s="3" t="s">
        <v>171</v>
      </c>
      <c r="E160" s="3" t="s">
        <v>172</v>
      </c>
      <c r="F160" s="3" t="s">
        <v>513</v>
      </c>
      <c r="G160" s="3" t="s">
        <v>514</v>
      </c>
      <c r="H160" s="4">
        <v>33263</v>
      </c>
      <c r="I160" s="6" t="s">
        <v>2331</v>
      </c>
      <c r="J160" s="6" t="s">
        <v>2510</v>
      </c>
      <c r="K160" s="6" t="s">
        <v>2706</v>
      </c>
      <c r="L160" s="6" t="s">
        <v>3259</v>
      </c>
      <c r="M160" s="9" t="s">
        <v>3431</v>
      </c>
      <c r="N160" s="5" t="str">
        <f t="shared" ref="N160" si="148">TEXT(H160, "DD-MMM-YYY")</f>
        <v>25-Jan-1991</v>
      </c>
      <c r="O160" s="6" t="s">
        <v>3881</v>
      </c>
    </row>
    <row r="161" spans="1:15" x14ac:dyDescent="0.35">
      <c r="A161" s="3" t="s">
        <v>108</v>
      </c>
      <c r="B161" s="3" t="s">
        <v>260</v>
      </c>
      <c r="C161" s="3" t="s">
        <v>151</v>
      </c>
      <c r="D161" s="3" t="s">
        <v>162</v>
      </c>
      <c r="E161" s="3" t="s">
        <v>63</v>
      </c>
      <c r="F161" s="3" t="s">
        <v>515</v>
      </c>
      <c r="G161" s="3" t="s">
        <v>516</v>
      </c>
      <c r="H161" s="4">
        <v>33665</v>
      </c>
      <c r="I161" s="6" t="s">
        <v>2332</v>
      </c>
      <c r="J161" s="6" t="s">
        <v>2511</v>
      </c>
      <c r="K161" s="6" t="s">
        <v>2707</v>
      </c>
      <c r="L161" s="6" t="s">
        <v>3209</v>
      </c>
      <c r="M161" s="9" t="s">
        <v>3432</v>
      </c>
      <c r="N161" s="5" t="str">
        <f t="shared" ref="N161" si="149">TEXT(H161,"DD-MMM-YYY")</f>
        <v>02-Mar-1992</v>
      </c>
      <c r="O161" s="6" t="s">
        <v>3882</v>
      </c>
    </row>
    <row r="162" spans="1:15" x14ac:dyDescent="0.35">
      <c r="A162" s="3" t="s">
        <v>115</v>
      </c>
      <c r="B162" s="3" t="s">
        <v>264</v>
      </c>
      <c r="C162" s="3" t="s">
        <v>158</v>
      </c>
      <c r="D162" s="3" t="s">
        <v>181</v>
      </c>
      <c r="E162" s="3" t="s">
        <v>182</v>
      </c>
      <c r="F162" s="3" t="s">
        <v>517</v>
      </c>
      <c r="G162" s="3" t="s">
        <v>518</v>
      </c>
      <c r="H162" s="4">
        <v>34096</v>
      </c>
      <c r="I162" s="6" t="s">
        <v>2333</v>
      </c>
      <c r="J162" s="6" t="s">
        <v>2512</v>
      </c>
      <c r="K162" s="6" t="s">
        <v>2708</v>
      </c>
      <c r="L162" s="6" t="s">
        <v>3260</v>
      </c>
      <c r="M162" s="9" t="s">
        <v>3433</v>
      </c>
      <c r="N162" s="5" t="str">
        <f t="shared" ref="N162" si="150">TEXT(H162, "DD-MMM-YYY")</f>
        <v>07-May-1993</v>
      </c>
      <c r="O162" s="6" t="s">
        <v>3883</v>
      </c>
    </row>
    <row r="163" spans="1:15" x14ac:dyDescent="0.35">
      <c r="A163" s="3" t="s">
        <v>122</v>
      </c>
      <c r="B163" s="3" t="s">
        <v>268</v>
      </c>
      <c r="C163" s="3" t="s">
        <v>164</v>
      </c>
      <c r="D163" s="3" t="s">
        <v>187</v>
      </c>
      <c r="E163" s="3" t="s">
        <v>188</v>
      </c>
      <c r="F163" s="3" t="s">
        <v>519</v>
      </c>
      <c r="G163" s="3" t="s">
        <v>520</v>
      </c>
      <c r="H163" s="4">
        <v>34527</v>
      </c>
      <c r="I163" s="6" t="s">
        <v>2334</v>
      </c>
      <c r="J163" s="6" t="s">
        <v>2513</v>
      </c>
      <c r="K163" s="6" t="s">
        <v>2709</v>
      </c>
      <c r="L163" s="6" t="s">
        <v>3153</v>
      </c>
      <c r="M163" s="9" t="s">
        <v>3434</v>
      </c>
      <c r="N163" s="5" t="str">
        <f t="shared" ref="N163" si="151">TEXT(H163,"DD-MMM-YYY")</f>
        <v>12-Jul-1994</v>
      </c>
      <c r="O163" s="6" t="s">
        <v>3884</v>
      </c>
    </row>
    <row r="164" spans="1:15" x14ac:dyDescent="0.35">
      <c r="A164" s="3" t="s">
        <v>129</v>
      </c>
      <c r="B164" s="3" t="s">
        <v>18</v>
      </c>
      <c r="C164" s="3" t="s">
        <v>19</v>
      </c>
      <c r="D164" s="3" t="s">
        <v>20</v>
      </c>
      <c r="E164" s="3" t="s">
        <v>21</v>
      </c>
      <c r="F164" s="3" t="s">
        <v>521</v>
      </c>
      <c r="G164" s="3" t="s">
        <v>522</v>
      </c>
      <c r="H164" s="4">
        <v>34959</v>
      </c>
      <c r="I164" s="6" t="s">
        <v>2335</v>
      </c>
      <c r="J164" s="6" t="s">
        <v>2514</v>
      </c>
      <c r="K164" s="6" t="s">
        <v>2710</v>
      </c>
      <c r="L164" s="6" t="s">
        <v>3241</v>
      </c>
      <c r="M164" s="9" t="s">
        <v>3435</v>
      </c>
      <c r="N164" s="5" t="str">
        <f t="shared" ref="N164" si="152">TEXT(H164, "DD-MMM-YYY")</f>
        <v>17-Sept-1995</v>
      </c>
      <c r="O164" s="6" t="s">
        <v>30</v>
      </c>
    </row>
    <row r="165" spans="1:15" x14ac:dyDescent="0.35">
      <c r="A165" s="3" t="s">
        <v>135</v>
      </c>
      <c r="B165" s="3" t="s">
        <v>32</v>
      </c>
      <c r="C165" s="3" t="s">
        <v>33</v>
      </c>
      <c r="D165" s="3" t="s">
        <v>34</v>
      </c>
      <c r="E165" s="3" t="s">
        <v>35</v>
      </c>
      <c r="F165" s="3" t="s">
        <v>523</v>
      </c>
      <c r="G165" s="3" t="s">
        <v>524</v>
      </c>
      <c r="H165" s="4">
        <v>35391</v>
      </c>
      <c r="I165" s="6" t="s">
        <v>2336</v>
      </c>
      <c r="J165" s="6" t="s">
        <v>1561</v>
      </c>
      <c r="K165" s="6" t="s">
        <v>2711</v>
      </c>
      <c r="L165" s="6" t="s">
        <v>3261</v>
      </c>
      <c r="M165" s="9" t="s">
        <v>3436</v>
      </c>
      <c r="N165" s="5" t="str">
        <f t="shared" ref="N165" si="153">TEXT(H165,"DD-MMM-YYY")</f>
        <v>22-Nov-1996</v>
      </c>
      <c r="O165" s="6" t="s">
        <v>44</v>
      </c>
    </row>
    <row r="166" spans="1:15" x14ac:dyDescent="0.35">
      <c r="A166" s="3" t="s">
        <v>142</v>
      </c>
      <c r="B166" s="3" t="s">
        <v>46</v>
      </c>
      <c r="C166" s="3" t="s">
        <v>47</v>
      </c>
      <c r="D166" s="3" t="s">
        <v>48</v>
      </c>
      <c r="E166" s="3" t="s">
        <v>49</v>
      </c>
      <c r="F166" s="3" t="s">
        <v>525</v>
      </c>
      <c r="G166" s="3" t="s">
        <v>526</v>
      </c>
      <c r="H166" s="4">
        <v>35457</v>
      </c>
      <c r="I166" s="6" t="s">
        <v>2337</v>
      </c>
      <c r="J166" s="6" t="s">
        <v>2515</v>
      </c>
      <c r="K166" s="6" t="s">
        <v>2712</v>
      </c>
      <c r="L166" s="6" t="s">
        <v>3262</v>
      </c>
      <c r="M166" s="9" t="s">
        <v>3437</v>
      </c>
      <c r="N166" s="5" t="str">
        <f t="shared" ref="N166" si="154">TEXT(H166, "DD-MMM-YYY")</f>
        <v>27-Jan-1997</v>
      </c>
      <c r="O166" s="6" t="s">
        <v>58</v>
      </c>
    </row>
    <row r="167" spans="1:15" x14ac:dyDescent="0.35">
      <c r="A167" s="3" t="s">
        <v>149</v>
      </c>
      <c r="B167" s="3" t="s">
        <v>60</v>
      </c>
      <c r="C167" s="3" t="s">
        <v>61</v>
      </c>
      <c r="D167" s="3" t="s">
        <v>62</v>
      </c>
      <c r="E167" s="3" t="s">
        <v>63</v>
      </c>
      <c r="F167" s="3" t="s">
        <v>527</v>
      </c>
      <c r="G167" s="3" t="s">
        <v>528</v>
      </c>
      <c r="H167" s="4">
        <v>35858</v>
      </c>
      <c r="I167" s="6" t="s">
        <v>2338</v>
      </c>
      <c r="J167" s="6" t="s">
        <v>2516</v>
      </c>
      <c r="K167" s="6" t="s">
        <v>2713</v>
      </c>
      <c r="L167" s="6" t="s">
        <v>69</v>
      </c>
      <c r="M167" s="9" t="s">
        <v>3438</v>
      </c>
      <c r="N167" s="5" t="str">
        <f t="shared" ref="N167" si="155">TEXT(H167,"DD-MMM-YYY")</f>
        <v>04-Mar-1998</v>
      </c>
      <c r="O167" s="6" t="s">
        <v>72</v>
      </c>
    </row>
    <row r="168" spans="1:15" x14ac:dyDescent="0.35">
      <c r="A168" s="3" t="s">
        <v>156</v>
      </c>
      <c r="B168" s="3" t="s">
        <v>74</v>
      </c>
      <c r="C168" s="3" t="s">
        <v>75</v>
      </c>
      <c r="D168" s="3" t="s">
        <v>76</v>
      </c>
      <c r="E168" s="3" t="s">
        <v>77</v>
      </c>
      <c r="F168" s="3" t="s">
        <v>529</v>
      </c>
      <c r="G168" s="3" t="s">
        <v>530</v>
      </c>
      <c r="H168" s="4">
        <v>36289</v>
      </c>
      <c r="I168" s="6" t="s">
        <v>2339</v>
      </c>
      <c r="J168" s="6" t="s">
        <v>2517</v>
      </c>
      <c r="K168" s="6" t="s">
        <v>2714</v>
      </c>
      <c r="L168" s="6" t="s">
        <v>3263</v>
      </c>
      <c r="M168" s="9" t="s">
        <v>3439</v>
      </c>
      <c r="N168" s="5" t="str">
        <f t="shared" ref="N168" si="156">TEXT(H168, "DD-MMM-YYY")</f>
        <v>09-May-1999</v>
      </c>
      <c r="O168" s="6" t="s">
        <v>86</v>
      </c>
    </row>
    <row r="169" spans="1:15" x14ac:dyDescent="0.35">
      <c r="A169" s="3" t="s">
        <v>162</v>
      </c>
      <c r="B169" s="3" t="s">
        <v>88</v>
      </c>
      <c r="C169" s="3" t="s">
        <v>89</v>
      </c>
      <c r="D169" s="3" t="s">
        <v>90</v>
      </c>
      <c r="E169" s="3" t="s">
        <v>91</v>
      </c>
      <c r="F169" s="3" t="s">
        <v>531</v>
      </c>
      <c r="G169" s="3" t="s">
        <v>532</v>
      </c>
      <c r="H169" s="4">
        <v>31242</v>
      </c>
      <c r="I169" s="6" t="s">
        <v>2340</v>
      </c>
      <c r="J169" s="6" t="s">
        <v>2518</v>
      </c>
      <c r="K169" s="6" t="s">
        <v>2715</v>
      </c>
      <c r="L169" s="6" t="s">
        <v>3252</v>
      </c>
      <c r="M169" s="9" t="s">
        <v>3440</v>
      </c>
      <c r="N169" s="5" t="str">
        <f t="shared" ref="N169" si="157">TEXT(H169,"DD-MMM-YYY")</f>
        <v>14-Jul-1985</v>
      </c>
      <c r="O169" s="6" t="s">
        <v>100</v>
      </c>
    </row>
    <row r="170" spans="1:15" x14ac:dyDescent="0.35">
      <c r="A170" s="3" t="s">
        <v>169</v>
      </c>
      <c r="B170" s="3" t="s">
        <v>102</v>
      </c>
      <c r="C170" s="3" t="s">
        <v>103</v>
      </c>
      <c r="D170" s="3" t="s">
        <v>104</v>
      </c>
      <c r="E170" s="3" t="s">
        <v>105</v>
      </c>
      <c r="F170" s="3" t="s">
        <v>533</v>
      </c>
      <c r="G170" s="3" t="s">
        <v>534</v>
      </c>
      <c r="H170" s="4">
        <v>31674</v>
      </c>
      <c r="I170" s="6" t="s">
        <v>2341</v>
      </c>
      <c r="J170" s="6" t="s">
        <v>2519</v>
      </c>
      <c r="K170" s="6" t="s">
        <v>2716</v>
      </c>
      <c r="L170" s="6" t="s">
        <v>3264</v>
      </c>
      <c r="M170" s="9" t="s">
        <v>3441</v>
      </c>
      <c r="N170" s="5" t="str">
        <f t="shared" ref="N170" si="158">TEXT(H170, "DD-MMM-YYY")</f>
        <v>19-Sept-1986</v>
      </c>
      <c r="O170" s="6" t="s">
        <v>3875</v>
      </c>
    </row>
    <row r="171" spans="1:15" x14ac:dyDescent="0.35">
      <c r="A171" s="3" t="s">
        <v>175</v>
      </c>
      <c r="B171" s="3" t="s">
        <v>109</v>
      </c>
      <c r="C171" s="3" t="s">
        <v>110</v>
      </c>
      <c r="D171" s="3" t="s">
        <v>111</v>
      </c>
      <c r="E171" s="3" t="s">
        <v>112</v>
      </c>
      <c r="F171" s="3" t="s">
        <v>535</v>
      </c>
      <c r="G171" s="3" t="s">
        <v>536</v>
      </c>
      <c r="H171" s="4">
        <v>32105</v>
      </c>
      <c r="I171" s="6" t="s">
        <v>2342</v>
      </c>
      <c r="J171" s="6" t="s">
        <v>2520</v>
      </c>
      <c r="K171" s="6" t="s">
        <v>2717</v>
      </c>
      <c r="L171" s="6" t="s">
        <v>3194</v>
      </c>
      <c r="M171" s="9" t="s">
        <v>3442</v>
      </c>
      <c r="N171" s="5" t="str">
        <f t="shared" ref="N171" si="159">TEXT(H171,"DD-MMM-YYY")</f>
        <v>24-Nov-1987</v>
      </c>
      <c r="O171" s="6" t="s">
        <v>3876</v>
      </c>
    </row>
    <row r="172" spans="1:15" x14ac:dyDescent="0.35">
      <c r="A172" s="3" t="s">
        <v>179</v>
      </c>
      <c r="B172" s="3" t="s">
        <v>116</v>
      </c>
      <c r="C172" s="3" t="s">
        <v>117</v>
      </c>
      <c r="D172" s="3" t="s">
        <v>118</v>
      </c>
      <c r="E172" s="3" t="s">
        <v>119</v>
      </c>
      <c r="F172" s="3" t="s">
        <v>537</v>
      </c>
      <c r="G172" s="3" t="s">
        <v>538</v>
      </c>
      <c r="H172" s="4">
        <v>32143</v>
      </c>
      <c r="I172" s="6" t="s">
        <v>2343</v>
      </c>
      <c r="J172" s="6" t="s">
        <v>2521</v>
      </c>
      <c r="K172" s="6" t="s">
        <v>2718</v>
      </c>
      <c r="L172" s="6" t="s">
        <v>3154</v>
      </c>
      <c r="M172" s="9" t="s">
        <v>3443</v>
      </c>
      <c r="N172" s="5" t="str">
        <f t="shared" ref="N172" si="160">TEXT(H172, "DD-MMM-YYY")</f>
        <v>01-Jan-1988</v>
      </c>
      <c r="O172" s="6" t="s">
        <v>3877</v>
      </c>
    </row>
    <row r="173" spans="1:15" x14ac:dyDescent="0.35">
      <c r="A173" s="3" t="s">
        <v>185</v>
      </c>
      <c r="B173" s="3" t="s">
        <v>123</v>
      </c>
      <c r="C173" s="3" t="s">
        <v>124</v>
      </c>
      <c r="D173" s="3" t="s">
        <v>125</v>
      </c>
      <c r="E173" s="3" t="s">
        <v>126</v>
      </c>
      <c r="F173" s="3" t="s">
        <v>539</v>
      </c>
      <c r="G173" s="3" t="s">
        <v>540</v>
      </c>
      <c r="H173" s="4">
        <v>32573</v>
      </c>
      <c r="I173" s="6" t="s">
        <v>2344</v>
      </c>
      <c r="J173" s="6" t="s">
        <v>2522</v>
      </c>
      <c r="K173" s="6" t="s">
        <v>2719</v>
      </c>
      <c r="L173" s="6" t="s">
        <v>3186</v>
      </c>
      <c r="M173" s="9" t="s">
        <v>3444</v>
      </c>
      <c r="N173" s="5" t="str">
        <f t="shared" ref="N173" si="161">TEXT(H173,"DD-MMM-YYY")</f>
        <v>06-Mar-1989</v>
      </c>
      <c r="O173" s="6" t="s">
        <v>3878</v>
      </c>
    </row>
    <row r="174" spans="1:15" x14ac:dyDescent="0.35">
      <c r="A174" s="3" t="s">
        <v>191</v>
      </c>
      <c r="B174" s="3" t="s">
        <v>130</v>
      </c>
      <c r="C174" s="3" t="s">
        <v>131</v>
      </c>
      <c r="D174" s="3" t="s">
        <v>132</v>
      </c>
      <c r="E174" s="3" t="s">
        <v>126</v>
      </c>
      <c r="F174" s="3" t="s">
        <v>541</v>
      </c>
      <c r="G174" s="3" t="s">
        <v>542</v>
      </c>
      <c r="H174" s="4">
        <v>33004</v>
      </c>
      <c r="I174" s="6" t="s">
        <v>2345</v>
      </c>
      <c r="J174" s="6" t="s">
        <v>2523</v>
      </c>
      <c r="K174" s="6" t="s">
        <v>2720</v>
      </c>
      <c r="L174" s="6" t="s">
        <v>3190</v>
      </c>
      <c r="M174" s="9" t="s">
        <v>3445</v>
      </c>
      <c r="N174" s="5" t="str">
        <f t="shared" ref="N174" si="162">TEXT(H174, "DD-MMM-YYY")</f>
        <v>11-May-1990</v>
      </c>
      <c r="O174" s="6" t="s">
        <v>3879</v>
      </c>
    </row>
    <row r="175" spans="1:15" x14ac:dyDescent="0.35">
      <c r="A175" s="3" t="s">
        <v>195</v>
      </c>
      <c r="B175" s="3" t="s">
        <v>136</v>
      </c>
      <c r="C175" s="3" t="s">
        <v>137</v>
      </c>
      <c r="D175" s="3" t="s">
        <v>138</v>
      </c>
      <c r="E175" s="3" t="s">
        <v>139</v>
      </c>
      <c r="F175" s="3" t="s">
        <v>543</v>
      </c>
      <c r="G175" s="3" t="s">
        <v>544</v>
      </c>
      <c r="H175" s="4">
        <v>33435</v>
      </c>
      <c r="I175" s="6" t="s">
        <v>2346</v>
      </c>
      <c r="J175" s="6" t="s">
        <v>1692</v>
      </c>
      <c r="K175" s="6" t="s">
        <v>2721</v>
      </c>
      <c r="L175" s="6" t="s">
        <v>3243</v>
      </c>
      <c r="M175" s="9" t="s">
        <v>3446</v>
      </c>
      <c r="N175" s="5" t="str">
        <f t="shared" ref="N175" si="163">TEXT(H175,"DD-MMM-YYY")</f>
        <v>16-Jul-1991</v>
      </c>
      <c r="O175" s="6" t="s">
        <v>3880</v>
      </c>
    </row>
    <row r="176" spans="1:15" x14ac:dyDescent="0.35">
      <c r="A176" s="3" t="s">
        <v>199</v>
      </c>
      <c r="B176" s="3" t="s">
        <v>143</v>
      </c>
      <c r="C176" s="3" t="s">
        <v>144</v>
      </c>
      <c r="D176" s="3" t="s">
        <v>145</v>
      </c>
      <c r="E176" s="3" t="s">
        <v>146</v>
      </c>
      <c r="F176" s="3" t="s">
        <v>545</v>
      </c>
      <c r="G176" s="3" t="s">
        <v>546</v>
      </c>
      <c r="H176" s="4">
        <v>33868</v>
      </c>
      <c r="I176" s="6" t="s">
        <v>2347</v>
      </c>
      <c r="J176" s="6" t="s">
        <v>2524</v>
      </c>
      <c r="K176" s="6" t="s">
        <v>2722</v>
      </c>
      <c r="L176" s="6" t="s">
        <v>3265</v>
      </c>
      <c r="M176" s="9" t="s">
        <v>3447</v>
      </c>
      <c r="N176" s="5" t="str">
        <f t="shared" ref="N176" si="164">TEXT(H176, "DD-MMM-YYY")</f>
        <v>21-Sept-1992</v>
      </c>
      <c r="O176" s="6" t="s">
        <v>3881</v>
      </c>
    </row>
    <row r="177" spans="1:15" x14ac:dyDescent="0.35">
      <c r="A177" s="3" t="s">
        <v>203</v>
      </c>
      <c r="B177" s="3" t="s">
        <v>150</v>
      </c>
      <c r="C177" s="3" t="s">
        <v>151</v>
      </c>
      <c r="D177" s="3" t="s">
        <v>152</v>
      </c>
      <c r="E177" s="3" t="s">
        <v>153</v>
      </c>
      <c r="F177" s="3" t="s">
        <v>547</v>
      </c>
      <c r="G177" s="3" t="s">
        <v>548</v>
      </c>
      <c r="H177" s="4">
        <v>34299</v>
      </c>
      <c r="I177" s="6" t="s">
        <v>2348</v>
      </c>
      <c r="J177" s="6" t="s">
        <v>2525</v>
      </c>
      <c r="K177" s="6" t="s">
        <v>2723</v>
      </c>
      <c r="L177" s="6" t="s">
        <v>3266</v>
      </c>
      <c r="M177" s="9" t="s">
        <v>3448</v>
      </c>
      <c r="N177" s="5" t="str">
        <f t="shared" ref="N177" si="165">TEXT(H177,"DD-MMM-YYY")</f>
        <v>26-Nov-1993</v>
      </c>
      <c r="O177" s="6" t="s">
        <v>3882</v>
      </c>
    </row>
    <row r="178" spans="1:15" x14ac:dyDescent="0.35">
      <c r="A178" s="3" t="s">
        <v>207</v>
      </c>
      <c r="B178" s="3" t="s">
        <v>157</v>
      </c>
      <c r="C178" s="3" t="s">
        <v>158</v>
      </c>
      <c r="D178" s="3" t="s">
        <v>159</v>
      </c>
      <c r="E178" s="3" t="s">
        <v>77</v>
      </c>
      <c r="F178" s="3" t="s">
        <v>549</v>
      </c>
      <c r="G178" s="3" t="s">
        <v>550</v>
      </c>
      <c r="H178" s="4">
        <v>34337</v>
      </c>
      <c r="I178" s="6" t="s">
        <v>2349</v>
      </c>
      <c r="J178" s="6" t="s">
        <v>2526</v>
      </c>
      <c r="K178" s="6" t="s">
        <v>2724</v>
      </c>
      <c r="L178" s="6" t="s">
        <v>3222</v>
      </c>
      <c r="M178" s="9" t="s">
        <v>3449</v>
      </c>
      <c r="N178" s="5" t="str">
        <f t="shared" ref="N178" si="166">TEXT(H178, "DD-MMM-YYY")</f>
        <v>03-Jan-1994</v>
      </c>
      <c r="O178" s="6" t="s">
        <v>3883</v>
      </c>
    </row>
    <row r="179" spans="1:15" x14ac:dyDescent="0.35">
      <c r="A179" s="3" t="s">
        <v>211</v>
      </c>
      <c r="B179" s="3" t="s">
        <v>163</v>
      </c>
      <c r="C179" s="3" t="s">
        <v>164</v>
      </c>
      <c r="D179" s="3" t="s">
        <v>165</v>
      </c>
      <c r="E179" s="3" t="s">
        <v>166</v>
      </c>
      <c r="F179" s="3" t="s">
        <v>551</v>
      </c>
      <c r="G179" s="3" t="s">
        <v>552</v>
      </c>
      <c r="H179" s="4">
        <v>34766</v>
      </c>
      <c r="I179" s="6" t="s">
        <v>2350</v>
      </c>
      <c r="J179" s="6" t="s">
        <v>2527</v>
      </c>
      <c r="K179" s="6" t="s">
        <v>2725</v>
      </c>
      <c r="L179" s="6" t="s">
        <v>3267</v>
      </c>
      <c r="M179" s="9" t="s">
        <v>3450</v>
      </c>
      <c r="N179" s="5" t="str">
        <f t="shared" ref="N179" si="167">TEXT(H179,"DD-MMM-YYY")</f>
        <v>08-Mar-1995</v>
      </c>
      <c r="O179" s="6" t="s">
        <v>3884</v>
      </c>
    </row>
    <row r="180" spans="1:15" x14ac:dyDescent="0.35">
      <c r="A180" s="3" t="s">
        <v>215</v>
      </c>
      <c r="B180" s="3" t="s">
        <v>170</v>
      </c>
      <c r="C180" s="3" t="s">
        <v>19</v>
      </c>
      <c r="D180" s="3" t="s">
        <v>171</v>
      </c>
      <c r="E180" s="3" t="s">
        <v>172</v>
      </c>
      <c r="F180" s="3" t="s">
        <v>553</v>
      </c>
      <c r="G180" s="3" t="s">
        <v>554</v>
      </c>
      <c r="H180" s="4">
        <v>35198</v>
      </c>
      <c r="I180" s="6" t="s">
        <v>2351</v>
      </c>
      <c r="J180" s="6" t="s">
        <v>2528</v>
      </c>
      <c r="K180" s="6" t="s">
        <v>2726</v>
      </c>
      <c r="L180" s="6" t="s">
        <v>3247</v>
      </c>
      <c r="M180" s="9" t="s">
        <v>3451</v>
      </c>
      <c r="N180" s="5" t="str">
        <f t="shared" ref="N180" si="168">TEXT(H180, "DD-MMM-YYY")</f>
        <v>13-May-1996</v>
      </c>
      <c r="O180" s="6" t="s">
        <v>30</v>
      </c>
    </row>
    <row r="181" spans="1:15" x14ac:dyDescent="0.35">
      <c r="A181" s="3" t="s">
        <v>219</v>
      </c>
      <c r="B181" s="3" t="s">
        <v>176</v>
      </c>
      <c r="C181" s="3" t="s">
        <v>33</v>
      </c>
      <c r="D181" s="3" t="s">
        <v>162</v>
      </c>
      <c r="E181" s="3" t="s">
        <v>63</v>
      </c>
      <c r="F181" s="3" t="s">
        <v>555</v>
      </c>
      <c r="G181" s="3" t="s">
        <v>556</v>
      </c>
      <c r="H181" s="4">
        <v>35629</v>
      </c>
      <c r="I181" s="6" t="s">
        <v>2352</v>
      </c>
      <c r="J181" s="6" t="s">
        <v>2529</v>
      </c>
      <c r="K181" s="6" t="s">
        <v>2727</v>
      </c>
      <c r="L181" s="6" t="s">
        <v>153</v>
      </c>
      <c r="M181" s="9" t="s">
        <v>3452</v>
      </c>
      <c r="N181" s="5" t="str">
        <f t="shared" ref="N181" si="169">TEXT(H181,"DD-MMM-YYY")</f>
        <v>18-Jul-1997</v>
      </c>
      <c r="O181" s="6" t="s">
        <v>44</v>
      </c>
    </row>
    <row r="182" spans="1:15" x14ac:dyDescent="0.35">
      <c r="A182" s="3" t="s">
        <v>223</v>
      </c>
      <c r="B182" s="3" t="s">
        <v>180</v>
      </c>
      <c r="C182" s="3" t="s">
        <v>47</v>
      </c>
      <c r="D182" s="3" t="s">
        <v>181</v>
      </c>
      <c r="E182" s="3" t="s">
        <v>182</v>
      </c>
      <c r="F182" s="3" t="s">
        <v>557</v>
      </c>
      <c r="G182" s="3" t="s">
        <v>558</v>
      </c>
      <c r="H182" s="4">
        <v>36061</v>
      </c>
      <c r="I182" s="6" t="s">
        <v>2353</v>
      </c>
      <c r="J182" s="6" t="s">
        <v>2530</v>
      </c>
      <c r="K182" s="6" t="s">
        <v>2728</v>
      </c>
      <c r="L182" s="6" t="s">
        <v>3268</v>
      </c>
      <c r="M182" s="9" t="s">
        <v>3453</v>
      </c>
      <c r="N182" s="5" t="str">
        <f t="shared" ref="N182" si="170">TEXT(H182, "DD-MMM-YYY")</f>
        <v>23-Sept-1998</v>
      </c>
      <c r="O182" s="6" t="s">
        <v>58</v>
      </c>
    </row>
    <row r="183" spans="1:15" x14ac:dyDescent="0.35">
      <c r="A183" s="3" t="s">
        <v>227</v>
      </c>
      <c r="B183" s="3" t="s">
        <v>186</v>
      </c>
      <c r="C183" s="3" t="s">
        <v>61</v>
      </c>
      <c r="D183" s="3" t="s">
        <v>187</v>
      </c>
      <c r="E183" s="3" t="s">
        <v>188</v>
      </c>
      <c r="F183" s="3" t="s">
        <v>559</v>
      </c>
      <c r="G183" s="3" t="s">
        <v>560</v>
      </c>
      <c r="H183" s="4">
        <v>36492</v>
      </c>
      <c r="I183" s="6" t="s">
        <v>2354</v>
      </c>
      <c r="J183" s="6" t="s">
        <v>2531</v>
      </c>
      <c r="K183" s="6" t="s">
        <v>2729</v>
      </c>
      <c r="L183" s="6" t="s">
        <v>3269</v>
      </c>
      <c r="M183" s="9" t="s">
        <v>3454</v>
      </c>
      <c r="N183" s="5" t="str">
        <f t="shared" ref="N183" si="171">TEXT(H183,"DD-MMM-YYY")</f>
        <v>28-Nov-1999</v>
      </c>
      <c r="O183" s="6" t="s">
        <v>72</v>
      </c>
    </row>
    <row r="184" spans="1:15" x14ac:dyDescent="0.35">
      <c r="A184" s="3" t="s">
        <v>231</v>
      </c>
      <c r="B184" s="3" t="s">
        <v>192</v>
      </c>
      <c r="C184" s="3" t="s">
        <v>75</v>
      </c>
      <c r="D184" s="3" t="s">
        <v>20</v>
      </c>
      <c r="E184" s="3" t="s">
        <v>21</v>
      </c>
      <c r="F184" s="3" t="s">
        <v>561</v>
      </c>
      <c r="G184" s="3" t="s">
        <v>562</v>
      </c>
      <c r="H184" s="4">
        <v>31052</v>
      </c>
      <c r="I184" s="6" t="s">
        <v>2355</v>
      </c>
      <c r="J184" s="6" t="s">
        <v>2532</v>
      </c>
      <c r="K184" s="6" t="s">
        <v>2730</v>
      </c>
      <c r="L184" s="6" t="s">
        <v>3162</v>
      </c>
      <c r="M184" s="9" t="s">
        <v>3455</v>
      </c>
      <c r="N184" s="5" t="str">
        <f t="shared" ref="N184" si="172">TEXT(H184, "DD-MMM-YYY")</f>
        <v>05-Jan-1985</v>
      </c>
      <c r="O184" s="6" t="s">
        <v>86</v>
      </c>
    </row>
    <row r="185" spans="1:15" x14ac:dyDescent="0.35">
      <c r="A185" s="3" t="s">
        <v>235</v>
      </c>
      <c r="B185" s="3" t="s">
        <v>196</v>
      </c>
      <c r="C185" s="3" t="s">
        <v>89</v>
      </c>
      <c r="D185" s="3" t="s">
        <v>34</v>
      </c>
      <c r="E185" s="3" t="s">
        <v>35</v>
      </c>
      <c r="F185" s="3" t="s">
        <v>563</v>
      </c>
      <c r="G185" s="3" t="s">
        <v>564</v>
      </c>
      <c r="H185" s="4">
        <v>31481</v>
      </c>
      <c r="I185" s="6" t="s">
        <v>2356</v>
      </c>
      <c r="J185" s="6" t="s">
        <v>1623</v>
      </c>
      <c r="K185" s="6" t="s">
        <v>2731</v>
      </c>
      <c r="L185" s="6" t="s">
        <v>3163</v>
      </c>
      <c r="M185" s="9" t="s">
        <v>3456</v>
      </c>
      <c r="N185" s="5" t="str">
        <f t="shared" ref="N185" si="173">TEXT(H185,"DD-MMM-YYY")</f>
        <v>10-Mar-1986</v>
      </c>
      <c r="O185" s="6" t="s">
        <v>100</v>
      </c>
    </row>
    <row r="186" spans="1:15" x14ac:dyDescent="0.35">
      <c r="A186" s="3" t="s">
        <v>239</v>
      </c>
      <c r="B186" s="3" t="s">
        <v>200</v>
      </c>
      <c r="C186" s="3" t="s">
        <v>103</v>
      </c>
      <c r="D186" s="3" t="s">
        <v>48</v>
      </c>
      <c r="E186" s="3" t="s">
        <v>49</v>
      </c>
      <c r="F186" s="3" t="s">
        <v>565</v>
      </c>
      <c r="G186" s="3" t="s">
        <v>566</v>
      </c>
      <c r="H186" s="4">
        <v>31912</v>
      </c>
      <c r="I186" s="6" t="s">
        <v>2357</v>
      </c>
      <c r="J186" s="6" t="s">
        <v>2533</v>
      </c>
      <c r="K186" s="6" t="s">
        <v>2732</v>
      </c>
      <c r="L186" s="6" t="s">
        <v>3188</v>
      </c>
      <c r="M186" s="9" t="s">
        <v>3457</v>
      </c>
      <c r="N186" s="5" t="str">
        <f t="shared" ref="N186" si="174">TEXT(H186, "DD-MMM-YYY")</f>
        <v>15-May-1987</v>
      </c>
      <c r="O186" s="6" t="s">
        <v>3875</v>
      </c>
    </row>
    <row r="187" spans="1:15" x14ac:dyDescent="0.35">
      <c r="A187" s="3" t="s">
        <v>243</v>
      </c>
      <c r="B187" s="3" t="s">
        <v>204</v>
      </c>
      <c r="C187" s="3" t="s">
        <v>110</v>
      </c>
      <c r="D187" s="3" t="s">
        <v>62</v>
      </c>
      <c r="E187" s="3" t="s">
        <v>63</v>
      </c>
      <c r="F187" s="3" t="s">
        <v>567</v>
      </c>
      <c r="G187" s="3" t="s">
        <v>568</v>
      </c>
      <c r="H187" s="4">
        <v>32344</v>
      </c>
      <c r="I187" s="6" t="s">
        <v>2358</v>
      </c>
      <c r="J187" s="6" t="s">
        <v>2534</v>
      </c>
      <c r="K187" s="6" t="s">
        <v>2733</v>
      </c>
      <c r="L187" s="6" t="s">
        <v>3270</v>
      </c>
      <c r="M187" s="9" t="s">
        <v>3458</v>
      </c>
      <c r="N187" s="5" t="str">
        <f t="shared" ref="N187" si="175">TEXT(H187,"DD-MMM-YYY")</f>
        <v>20-Jul-1988</v>
      </c>
      <c r="O187" s="6" t="s">
        <v>3876</v>
      </c>
    </row>
    <row r="188" spans="1:15" x14ac:dyDescent="0.35">
      <c r="A188" s="3" t="s">
        <v>247</v>
      </c>
      <c r="B188" s="3" t="s">
        <v>208</v>
      </c>
      <c r="C188" s="3" t="s">
        <v>117</v>
      </c>
      <c r="D188" s="3" t="s">
        <v>76</v>
      </c>
      <c r="E188" s="3" t="s">
        <v>77</v>
      </c>
      <c r="F188" s="3" t="s">
        <v>569</v>
      </c>
      <c r="G188" s="3" t="s">
        <v>570</v>
      </c>
      <c r="H188" s="4">
        <v>32776</v>
      </c>
      <c r="I188" s="6" t="s">
        <v>2359</v>
      </c>
      <c r="J188" s="6" t="s">
        <v>2535</v>
      </c>
      <c r="K188" s="6" t="s">
        <v>2734</v>
      </c>
      <c r="L188" s="6" t="s">
        <v>3271</v>
      </c>
      <c r="M188" s="9" t="s">
        <v>3459</v>
      </c>
      <c r="N188" s="5" t="str">
        <f t="shared" ref="N188" si="176">TEXT(H188, "DD-MMM-YYY")</f>
        <v>25-Sept-1989</v>
      </c>
      <c r="O188" s="6" t="s">
        <v>3877</v>
      </c>
    </row>
    <row r="189" spans="1:15" x14ac:dyDescent="0.35">
      <c r="A189" s="3" t="s">
        <v>251</v>
      </c>
      <c r="B189" s="3" t="s">
        <v>212</v>
      </c>
      <c r="C189" s="3" t="s">
        <v>124</v>
      </c>
      <c r="D189" s="3" t="s">
        <v>90</v>
      </c>
      <c r="E189" s="3" t="s">
        <v>91</v>
      </c>
      <c r="F189" s="3" t="s">
        <v>571</v>
      </c>
      <c r="G189" s="3" t="s">
        <v>572</v>
      </c>
      <c r="H189" s="4">
        <v>33179</v>
      </c>
      <c r="I189" s="6" t="s">
        <v>2360</v>
      </c>
      <c r="J189" s="6" t="s">
        <v>2536</v>
      </c>
      <c r="K189" s="6" t="s">
        <v>2735</v>
      </c>
      <c r="L189" s="6" t="s">
        <v>3229</v>
      </c>
      <c r="M189" s="9" t="s">
        <v>3460</v>
      </c>
      <c r="N189" s="5" t="str">
        <f t="shared" ref="N189" si="177">TEXT(H189,"DD-MMM-YYY")</f>
        <v>02-Nov-1990</v>
      </c>
      <c r="O189" s="6" t="s">
        <v>3878</v>
      </c>
    </row>
    <row r="190" spans="1:15" x14ac:dyDescent="0.35">
      <c r="A190" s="3" t="s">
        <v>255</v>
      </c>
      <c r="B190" s="3" t="s">
        <v>216</v>
      </c>
      <c r="C190" s="3" t="s">
        <v>131</v>
      </c>
      <c r="D190" s="3" t="s">
        <v>104</v>
      </c>
      <c r="E190" s="3" t="s">
        <v>105</v>
      </c>
      <c r="F190" s="3" t="s">
        <v>573</v>
      </c>
      <c r="G190" s="3" t="s">
        <v>574</v>
      </c>
      <c r="H190" s="4">
        <v>33245</v>
      </c>
      <c r="I190" s="6" t="s">
        <v>2361</v>
      </c>
      <c r="J190" s="6" t="s">
        <v>2537</v>
      </c>
      <c r="K190" s="6" t="s">
        <v>2736</v>
      </c>
      <c r="L190" s="6" t="s">
        <v>41</v>
      </c>
      <c r="M190" s="9" t="s">
        <v>3461</v>
      </c>
      <c r="N190" s="5" t="str">
        <f t="shared" ref="N190" si="178">TEXT(H190, "DD-MMM-YYY")</f>
        <v>07-Jan-1991</v>
      </c>
      <c r="O190" s="6" t="s">
        <v>3879</v>
      </c>
    </row>
    <row r="191" spans="1:15" x14ac:dyDescent="0.35">
      <c r="A191" s="3" t="s">
        <v>259</v>
      </c>
      <c r="B191" s="3" t="s">
        <v>220</v>
      </c>
      <c r="C191" s="3" t="s">
        <v>137</v>
      </c>
      <c r="D191" s="3" t="s">
        <v>111</v>
      </c>
      <c r="E191" s="3" t="s">
        <v>112</v>
      </c>
      <c r="F191" s="3" t="s">
        <v>575</v>
      </c>
      <c r="G191" s="3" t="s">
        <v>576</v>
      </c>
      <c r="H191" s="4">
        <v>33675</v>
      </c>
      <c r="I191" s="6" t="s">
        <v>2362</v>
      </c>
      <c r="J191" s="6" t="s">
        <v>2538</v>
      </c>
      <c r="K191" s="6" t="s">
        <v>2737</v>
      </c>
      <c r="L191" s="6" t="s">
        <v>3272</v>
      </c>
      <c r="M191" s="9" t="s">
        <v>3462</v>
      </c>
      <c r="N191" s="5" t="str">
        <f t="shared" ref="N191" si="179">TEXT(H191,"DD-MMM-YYY")</f>
        <v>12-Mar-1992</v>
      </c>
      <c r="O191" s="6" t="s">
        <v>3880</v>
      </c>
    </row>
    <row r="192" spans="1:15" x14ac:dyDescent="0.35">
      <c r="A192" s="3" t="s">
        <v>263</v>
      </c>
      <c r="B192" s="3" t="s">
        <v>224</v>
      </c>
      <c r="C192" s="3" t="s">
        <v>144</v>
      </c>
      <c r="D192" s="3" t="s">
        <v>118</v>
      </c>
      <c r="E192" s="3" t="s">
        <v>119</v>
      </c>
      <c r="F192" s="3" t="s">
        <v>577</v>
      </c>
      <c r="G192" s="3" t="s">
        <v>578</v>
      </c>
      <c r="H192" s="4">
        <v>34106</v>
      </c>
      <c r="I192" s="6" t="s">
        <v>2363</v>
      </c>
      <c r="J192" s="6" t="s">
        <v>2539</v>
      </c>
      <c r="K192" s="6" t="s">
        <v>2738</v>
      </c>
      <c r="L192" s="6" t="s">
        <v>3234</v>
      </c>
      <c r="M192" s="9" t="s">
        <v>3463</v>
      </c>
      <c r="N192" s="5" t="str">
        <f t="shared" ref="N192" si="180">TEXT(H192, "DD-MMM-YYY")</f>
        <v>17-May-1993</v>
      </c>
      <c r="O192" s="6" t="s">
        <v>3881</v>
      </c>
    </row>
    <row r="193" spans="1:15" x14ac:dyDescent="0.35">
      <c r="A193" s="3" t="s">
        <v>267</v>
      </c>
      <c r="B193" s="3" t="s">
        <v>228</v>
      </c>
      <c r="C193" s="3" t="s">
        <v>151</v>
      </c>
      <c r="D193" s="3" t="s">
        <v>125</v>
      </c>
      <c r="E193" s="3" t="s">
        <v>126</v>
      </c>
      <c r="F193" s="3" t="s">
        <v>579</v>
      </c>
      <c r="G193" s="3" t="s">
        <v>580</v>
      </c>
      <c r="H193" s="4">
        <v>34537</v>
      </c>
      <c r="I193" s="6" t="s">
        <v>2364</v>
      </c>
      <c r="J193" s="6" t="s">
        <v>2540</v>
      </c>
      <c r="K193" s="6" t="s">
        <v>2739</v>
      </c>
      <c r="L193" s="6" t="s">
        <v>63</v>
      </c>
      <c r="M193" s="9" t="s">
        <v>3464</v>
      </c>
      <c r="N193" s="5" t="str">
        <f t="shared" ref="N193" si="181">TEXT(H193,"DD-MMM-YYY")</f>
        <v>22-Jul-1994</v>
      </c>
      <c r="O193" s="6" t="s">
        <v>3882</v>
      </c>
    </row>
    <row r="194" spans="1:15" x14ac:dyDescent="0.35">
      <c r="A194" s="3" t="s">
        <v>271</v>
      </c>
      <c r="B194" s="3" t="s">
        <v>232</v>
      </c>
      <c r="C194" s="3" t="s">
        <v>158</v>
      </c>
      <c r="D194" s="3" t="s">
        <v>132</v>
      </c>
      <c r="E194" s="3" t="s">
        <v>126</v>
      </c>
      <c r="F194" s="3" t="s">
        <v>581</v>
      </c>
      <c r="G194" s="3" t="s">
        <v>582</v>
      </c>
      <c r="H194" s="4">
        <v>34969</v>
      </c>
      <c r="I194" s="6" t="s">
        <v>2365</v>
      </c>
      <c r="J194" s="6" t="s">
        <v>2541</v>
      </c>
      <c r="K194" s="6" t="s">
        <v>2740</v>
      </c>
      <c r="L194" s="6" t="s">
        <v>3273</v>
      </c>
      <c r="M194" s="9" t="s">
        <v>3465</v>
      </c>
      <c r="N194" s="5" t="str">
        <f t="shared" ref="N194" si="182">TEXT(H194, "DD-MMM-YYY")</f>
        <v>27-Sept-1995</v>
      </c>
      <c r="O194" s="6" t="s">
        <v>3883</v>
      </c>
    </row>
    <row r="195" spans="1:15" x14ac:dyDescent="0.35">
      <c r="A195" s="3" t="s">
        <v>274</v>
      </c>
      <c r="B195" s="3" t="s">
        <v>236</v>
      </c>
      <c r="C195" s="3" t="s">
        <v>164</v>
      </c>
      <c r="D195" s="3" t="s">
        <v>138</v>
      </c>
      <c r="E195" s="3" t="s">
        <v>139</v>
      </c>
      <c r="F195" s="3" t="s">
        <v>583</v>
      </c>
      <c r="G195" s="3" t="s">
        <v>584</v>
      </c>
      <c r="H195" s="4">
        <v>35373</v>
      </c>
      <c r="I195" s="6" t="s">
        <v>2366</v>
      </c>
      <c r="J195" s="6" t="s">
        <v>1546</v>
      </c>
      <c r="K195" s="6" t="s">
        <v>2741</v>
      </c>
      <c r="L195" s="6" t="s">
        <v>3274</v>
      </c>
      <c r="M195" s="9" t="s">
        <v>3466</v>
      </c>
      <c r="N195" s="5" t="str">
        <f t="shared" ref="N195" si="183">TEXT(H195,"DD-MMM-YYY")</f>
        <v>04-Nov-1996</v>
      </c>
      <c r="O195" s="6" t="s">
        <v>3884</v>
      </c>
    </row>
    <row r="196" spans="1:15" x14ac:dyDescent="0.35">
      <c r="A196" s="3" t="s">
        <v>277</v>
      </c>
      <c r="B196" s="3" t="s">
        <v>240</v>
      </c>
      <c r="C196" s="3" t="s">
        <v>19</v>
      </c>
      <c r="D196" s="3" t="s">
        <v>145</v>
      </c>
      <c r="E196" s="3" t="s">
        <v>146</v>
      </c>
      <c r="F196" s="3" t="s">
        <v>585</v>
      </c>
      <c r="G196" s="3" t="s">
        <v>586</v>
      </c>
      <c r="H196" s="4">
        <v>35439</v>
      </c>
      <c r="I196" s="6" t="s">
        <v>2367</v>
      </c>
      <c r="J196" s="6" t="s">
        <v>2542</v>
      </c>
      <c r="K196" s="6" t="s">
        <v>2742</v>
      </c>
      <c r="L196" s="6" t="s">
        <v>3275</v>
      </c>
      <c r="M196" s="9" t="s">
        <v>3467</v>
      </c>
      <c r="N196" s="5" t="str">
        <f t="shared" ref="N196" si="184">TEXT(H196, "DD-MMM-YYY")</f>
        <v>09-Jan-1997</v>
      </c>
      <c r="O196" s="6" t="s">
        <v>30</v>
      </c>
    </row>
    <row r="197" spans="1:15" x14ac:dyDescent="0.35">
      <c r="A197" s="3" t="s">
        <v>280</v>
      </c>
      <c r="B197" s="3" t="s">
        <v>244</v>
      </c>
      <c r="C197" s="3" t="s">
        <v>33</v>
      </c>
      <c r="D197" s="3" t="s">
        <v>152</v>
      </c>
      <c r="E197" s="3" t="s">
        <v>153</v>
      </c>
      <c r="F197" s="3" t="s">
        <v>587</v>
      </c>
      <c r="G197" s="3" t="s">
        <v>588</v>
      </c>
      <c r="H197" s="4">
        <v>35868</v>
      </c>
      <c r="I197" s="6" t="s">
        <v>2368</v>
      </c>
      <c r="J197" s="6" t="s">
        <v>2543</v>
      </c>
      <c r="K197" s="6" t="s">
        <v>2743</v>
      </c>
      <c r="L197" s="6" t="s">
        <v>3276</v>
      </c>
      <c r="M197" s="9" t="s">
        <v>3468</v>
      </c>
      <c r="N197" s="5" t="str">
        <f t="shared" ref="N197" si="185">TEXT(H197,"DD-MMM-YYY")</f>
        <v>14-Mar-1998</v>
      </c>
      <c r="O197" s="6" t="s">
        <v>44</v>
      </c>
    </row>
    <row r="198" spans="1:15" x14ac:dyDescent="0.35">
      <c r="A198" s="3" t="s">
        <v>283</v>
      </c>
      <c r="B198" s="3" t="s">
        <v>248</v>
      </c>
      <c r="C198" s="3" t="s">
        <v>47</v>
      </c>
      <c r="D198" s="3" t="s">
        <v>159</v>
      </c>
      <c r="E198" s="3" t="s">
        <v>77</v>
      </c>
      <c r="F198" s="3" t="s">
        <v>589</v>
      </c>
      <c r="G198" s="3" t="s">
        <v>590</v>
      </c>
      <c r="H198" s="4">
        <v>36299</v>
      </c>
      <c r="I198" s="6" t="s">
        <v>2369</v>
      </c>
      <c r="J198" s="6" t="s">
        <v>2544</v>
      </c>
      <c r="K198" s="6" t="s">
        <v>2744</v>
      </c>
      <c r="L198" s="6" t="s">
        <v>3277</v>
      </c>
      <c r="M198" s="9" t="s">
        <v>3469</v>
      </c>
      <c r="N198" s="5" t="str">
        <f t="shared" ref="N198" si="186">TEXT(H198, "DD-MMM-YYY")</f>
        <v>19-May-1999</v>
      </c>
      <c r="O198" s="6" t="s">
        <v>58</v>
      </c>
    </row>
    <row r="199" spans="1:15" x14ac:dyDescent="0.35">
      <c r="A199" s="3" t="s">
        <v>286</v>
      </c>
      <c r="B199" s="3" t="s">
        <v>252</v>
      </c>
      <c r="C199" s="3" t="s">
        <v>61</v>
      </c>
      <c r="D199" s="3" t="s">
        <v>165</v>
      </c>
      <c r="E199" s="3" t="s">
        <v>166</v>
      </c>
      <c r="F199" s="3" t="s">
        <v>591</v>
      </c>
      <c r="G199" s="3" t="s">
        <v>592</v>
      </c>
      <c r="H199" s="4">
        <v>31252</v>
      </c>
      <c r="I199" s="6" t="s">
        <v>2370</v>
      </c>
      <c r="J199" s="6" t="s">
        <v>2545</v>
      </c>
      <c r="K199" s="6" t="s">
        <v>2745</v>
      </c>
      <c r="L199" s="6" t="s">
        <v>3278</v>
      </c>
      <c r="M199" s="9" t="s">
        <v>3470</v>
      </c>
      <c r="N199" s="5" t="str">
        <f t="shared" ref="N199" si="187">TEXT(H199,"DD-MMM-YYY")</f>
        <v>24-Jul-1985</v>
      </c>
      <c r="O199" s="6" t="s">
        <v>72</v>
      </c>
    </row>
    <row r="200" spans="1:15" x14ac:dyDescent="0.35">
      <c r="A200" s="3" t="s">
        <v>289</v>
      </c>
      <c r="B200" s="3" t="s">
        <v>256</v>
      </c>
      <c r="C200" s="3" t="s">
        <v>75</v>
      </c>
      <c r="D200" s="3" t="s">
        <v>171</v>
      </c>
      <c r="E200" s="3" t="s">
        <v>172</v>
      </c>
      <c r="F200" s="3" t="s">
        <v>593</v>
      </c>
      <c r="G200" s="3" t="s">
        <v>594</v>
      </c>
      <c r="H200" s="4">
        <v>31656</v>
      </c>
      <c r="I200" s="6" t="s">
        <v>2371</v>
      </c>
      <c r="J200" s="6" t="s">
        <v>2546</v>
      </c>
      <c r="K200" s="6" t="s">
        <v>2746</v>
      </c>
      <c r="L200" s="6" t="s">
        <v>3262</v>
      </c>
      <c r="M200" s="9" t="s">
        <v>3471</v>
      </c>
      <c r="N200" s="5" t="str">
        <f t="shared" ref="N200" si="188">TEXT(H200, "DD-MMM-YYY")</f>
        <v>01-Sept-1986</v>
      </c>
      <c r="O200" s="6" t="s">
        <v>86</v>
      </c>
    </row>
    <row r="201" spans="1:15" x14ac:dyDescent="0.35">
      <c r="A201" s="3" t="s">
        <v>292</v>
      </c>
      <c r="B201" s="3" t="s">
        <v>260</v>
      </c>
      <c r="C201" s="3" t="s">
        <v>89</v>
      </c>
      <c r="D201" s="3" t="s">
        <v>162</v>
      </c>
      <c r="E201" s="3" t="s">
        <v>63</v>
      </c>
      <c r="F201" s="3" t="s">
        <v>595</v>
      </c>
      <c r="G201" s="3" t="s">
        <v>596</v>
      </c>
      <c r="H201" s="4">
        <v>32087</v>
      </c>
      <c r="I201" s="6" t="s">
        <v>2372</v>
      </c>
      <c r="J201" s="6" t="s">
        <v>2547</v>
      </c>
      <c r="K201" s="6" t="s">
        <v>2747</v>
      </c>
      <c r="L201" s="6" t="s">
        <v>3279</v>
      </c>
      <c r="M201" s="9" t="s">
        <v>3472</v>
      </c>
      <c r="N201" s="5" t="str">
        <f t="shared" ref="N201" si="189">TEXT(H201,"DD-MMM-YYY")</f>
        <v>06-Nov-1987</v>
      </c>
      <c r="O201" s="6" t="s">
        <v>100</v>
      </c>
    </row>
    <row r="202" spans="1:15" x14ac:dyDescent="0.35">
      <c r="A202" s="3" t="s">
        <v>295</v>
      </c>
      <c r="B202" s="3" t="s">
        <v>264</v>
      </c>
      <c r="C202" s="3" t="s">
        <v>103</v>
      </c>
      <c r="D202" s="3" t="s">
        <v>181</v>
      </c>
      <c r="E202" s="3" t="s">
        <v>182</v>
      </c>
      <c r="F202" s="3" t="s">
        <v>597</v>
      </c>
      <c r="G202" s="3" t="s">
        <v>598</v>
      </c>
      <c r="H202" s="4">
        <v>32153</v>
      </c>
      <c r="I202" s="6" t="s">
        <v>2373</v>
      </c>
      <c r="J202" s="6" t="s">
        <v>2548</v>
      </c>
      <c r="K202" s="6" t="s">
        <v>2748</v>
      </c>
      <c r="L202" s="6" t="s">
        <v>3280</v>
      </c>
      <c r="M202" s="9" t="s">
        <v>3473</v>
      </c>
      <c r="N202" s="5" t="str">
        <f t="shared" ref="N202" si="190">TEXT(H202, "DD-MMM-YYY")</f>
        <v>11-Jan-1988</v>
      </c>
      <c r="O202" s="6" t="s">
        <v>3875</v>
      </c>
    </row>
    <row r="203" spans="1:15" x14ac:dyDescent="0.35">
      <c r="A203" s="3" t="s">
        <v>298</v>
      </c>
      <c r="B203" s="3" t="s">
        <v>268</v>
      </c>
      <c r="C203" s="3" t="s">
        <v>110</v>
      </c>
      <c r="D203" s="3" t="s">
        <v>187</v>
      </c>
      <c r="E203" s="3" t="s">
        <v>188</v>
      </c>
      <c r="F203" s="3" t="s">
        <v>599</v>
      </c>
      <c r="G203" s="3" t="s">
        <v>600</v>
      </c>
      <c r="H203" s="4">
        <v>32583</v>
      </c>
      <c r="I203" s="6" t="s">
        <v>2374</v>
      </c>
      <c r="J203" s="6" t="s">
        <v>2549</v>
      </c>
      <c r="K203" s="6" t="s">
        <v>2749</v>
      </c>
      <c r="L203" s="6" t="s">
        <v>3189</v>
      </c>
      <c r="M203" s="9" t="s">
        <v>3474</v>
      </c>
      <c r="N203" s="5" t="str">
        <f t="shared" ref="N203" si="191">TEXT(H203,"DD-MMM-YYY")</f>
        <v>16-Mar-1989</v>
      </c>
      <c r="O203" s="6" t="s">
        <v>3876</v>
      </c>
    </row>
    <row r="204" spans="1:15" x14ac:dyDescent="0.35">
      <c r="A204" s="3" t="s">
        <v>17</v>
      </c>
      <c r="B204" s="3" t="s">
        <v>18</v>
      </c>
      <c r="C204" s="3" t="s">
        <v>117</v>
      </c>
      <c r="D204" s="3" t="s">
        <v>20</v>
      </c>
      <c r="E204" s="3" t="s">
        <v>21</v>
      </c>
      <c r="F204" s="3" t="s">
        <v>601</v>
      </c>
      <c r="G204" s="3" t="s">
        <v>602</v>
      </c>
      <c r="H204" s="4">
        <v>33014</v>
      </c>
      <c r="I204" s="6" t="s">
        <v>24</v>
      </c>
      <c r="J204" s="6" t="s">
        <v>25</v>
      </c>
      <c r="K204" s="6" t="s">
        <v>2750</v>
      </c>
      <c r="L204" s="6" t="s">
        <v>27</v>
      </c>
      <c r="M204" s="9" t="s">
        <v>3475</v>
      </c>
      <c r="N204" s="5" t="str">
        <f t="shared" ref="N204" si="192">TEXT(H204, "DD-MMM-YYY")</f>
        <v>21-May-1990</v>
      </c>
      <c r="O204" s="6" t="s">
        <v>3877</v>
      </c>
    </row>
    <row r="205" spans="1:15" x14ac:dyDescent="0.35">
      <c r="A205" s="3" t="s">
        <v>31</v>
      </c>
      <c r="B205" s="3" t="s">
        <v>32</v>
      </c>
      <c r="C205" s="3" t="s">
        <v>124</v>
      </c>
      <c r="D205" s="3" t="s">
        <v>34</v>
      </c>
      <c r="E205" s="3" t="s">
        <v>35</v>
      </c>
      <c r="F205" s="3" t="s">
        <v>603</v>
      </c>
      <c r="G205" s="3" t="s">
        <v>604</v>
      </c>
      <c r="H205" s="4">
        <v>33445</v>
      </c>
      <c r="I205" s="6" t="s">
        <v>38</v>
      </c>
      <c r="J205" s="6" t="s">
        <v>39</v>
      </c>
      <c r="K205" s="6" t="s">
        <v>2751</v>
      </c>
      <c r="L205" s="6" t="s">
        <v>41</v>
      </c>
      <c r="M205" s="9" t="s">
        <v>3476</v>
      </c>
      <c r="N205" s="5" t="str">
        <f t="shared" ref="N205" si="193">TEXT(H205,"DD-MMM-YYY")</f>
        <v>26-Jul-1991</v>
      </c>
      <c r="O205" s="6" t="s">
        <v>3878</v>
      </c>
    </row>
    <row r="206" spans="1:15" x14ac:dyDescent="0.35">
      <c r="A206" s="3" t="s">
        <v>45</v>
      </c>
      <c r="B206" s="3" t="s">
        <v>46</v>
      </c>
      <c r="C206" s="3" t="s">
        <v>131</v>
      </c>
      <c r="D206" s="3" t="s">
        <v>48</v>
      </c>
      <c r="E206" s="3" t="s">
        <v>49</v>
      </c>
      <c r="F206" s="3" t="s">
        <v>605</v>
      </c>
      <c r="G206" s="3" t="s">
        <v>606</v>
      </c>
      <c r="H206" s="4">
        <v>33850</v>
      </c>
      <c r="I206" s="6" t="s">
        <v>52</v>
      </c>
      <c r="J206" s="6" t="s">
        <v>53</v>
      </c>
      <c r="K206" s="6" t="s">
        <v>2752</v>
      </c>
      <c r="L206" s="6" t="s">
        <v>55</v>
      </c>
      <c r="M206" s="9" t="s">
        <v>3477</v>
      </c>
      <c r="N206" s="5" t="str">
        <f t="shared" ref="N206" si="194">TEXT(H206, "DD-MMM-YYY")</f>
        <v>03-Sept-1992</v>
      </c>
      <c r="O206" s="6" t="s">
        <v>3879</v>
      </c>
    </row>
    <row r="207" spans="1:15" x14ac:dyDescent="0.35">
      <c r="A207" s="3" t="s">
        <v>59</v>
      </c>
      <c r="B207" s="3" t="s">
        <v>60</v>
      </c>
      <c r="C207" s="3" t="s">
        <v>137</v>
      </c>
      <c r="D207" s="3" t="s">
        <v>62</v>
      </c>
      <c r="E207" s="3" t="s">
        <v>63</v>
      </c>
      <c r="F207" s="3" t="s">
        <v>607</v>
      </c>
      <c r="G207" s="3" t="s">
        <v>608</v>
      </c>
      <c r="H207" s="4">
        <v>34281</v>
      </c>
      <c r="I207" s="6" t="s">
        <v>66</v>
      </c>
      <c r="J207" s="6" t="s">
        <v>67</v>
      </c>
      <c r="K207" s="6" t="s">
        <v>2753</v>
      </c>
      <c r="L207" s="6" t="s">
        <v>69</v>
      </c>
      <c r="M207" s="9" t="s">
        <v>3478</v>
      </c>
      <c r="N207" s="5" t="str">
        <f t="shared" ref="N207" si="195">TEXT(H207,"DD-MMM-YYY")</f>
        <v>08-Nov-1993</v>
      </c>
      <c r="O207" s="6" t="s">
        <v>3880</v>
      </c>
    </row>
    <row r="208" spans="1:15" x14ac:dyDescent="0.35">
      <c r="A208" s="3" t="s">
        <v>73</v>
      </c>
      <c r="B208" s="3" t="s">
        <v>74</v>
      </c>
      <c r="C208" s="3" t="s">
        <v>144</v>
      </c>
      <c r="D208" s="3" t="s">
        <v>76</v>
      </c>
      <c r="E208" s="3" t="s">
        <v>77</v>
      </c>
      <c r="F208" s="3" t="s">
        <v>609</v>
      </c>
      <c r="G208" s="3" t="s">
        <v>610</v>
      </c>
      <c r="H208" s="4">
        <v>34347</v>
      </c>
      <c r="I208" s="6" t="s">
        <v>80</v>
      </c>
      <c r="J208" s="6" t="s">
        <v>81</v>
      </c>
      <c r="K208" s="6" t="s">
        <v>2754</v>
      </c>
      <c r="L208" s="6" t="s">
        <v>83</v>
      </c>
      <c r="M208" s="9" t="s">
        <v>3479</v>
      </c>
      <c r="N208" s="5" t="str">
        <f t="shared" ref="N208" si="196">TEXT(H208, "DD-MMM-YYY")</f>
        <v>13-Jan-1994</v>
      </c>
      <c r="O208" s="6" t="s">
        <v>3881</v>
      </c>
    </row>
    <row r="209" spans="1:15" x14ac:dyDescent="0.35">
      <c r="A209" s="3" t="s">
        <v>87</v>
      </c>
      <c r="B209" s="3" t="s">
        <v>88</v>
      </c>
      <c r="C209" s="3" t="s">
        <v>151</v>
      </c>
      <c r="D209" s="3" t="s">
        <v>90</v>
      </c>
      <c r="E209" s="3" t="s">
        <v>91</v>
      </c>
      <c r="F209" s="3" t="s">
        <v>611</v>
      </c>
      <c r="G209" s="3" t="s">
        <v>612</v>
      </c>
      <c r="H209" s="4">
        <v>34776</v>
      </c>
      <c r="I209" s="6" t="s">
        <v>94</v>
      </c>
      <c r="J209" s="6" t="s">
        <v>95</v>
      </c>
      <c r="K209" s="6" t="s">
        <v>2755</v>
      </c>
      <c r="L209" s="6" t="s">
        <v>97</v>
      </c>
      <c r="M209" s="9" t="s">
        <v>3480</v>
      </c>
      <c r="N209" s="5" t="str">
        <f t="shared" ref="N209" si="197">TEXT(H209,"DD-MMM-YYY")</f>
        <v>18-Mar-1995</v>
      </c>
      <c r="O209" s="6" t="s">
        <v>3882</v>
      </c>
    </row>
    <row r="210" spans="1:15" x14ac:dyDescent="0.35">
      <c r="A210" s="3" t="s">
        <v>101</v>
      </c>
      <c r="B210" s="3" t="s">
        <v>102</v>
      </c>
      <c r="C210" s="3" t="s">
        <v>158</v>
      </c>
      <c r="D210" s="3" t="s">
        <v>104</v>
      </c>
      <c r="E210" s="3" t="s">
        <v>105</v>
      </c>
      <c r="F210" s="3" t="s">
        <v>613</v>
      </c>
      <c r="G210" s="3" t="s">
        <v>614</v>
      </c>
      <c r="H210" s="4">
        <v>35208</v>
      </c>
      <c r="I210" s="6" t="s">
        <v>2181</v>
      </c>
      <c r="J210" s="6" t="s">
        <v>2375</v>
      </c>
      <c r="K210" s="6" t="s">
        <v>2756</v>
      </c>
      <c r="L210" s="6" t="s">
        <v>3150</v>
      </c>
      <c r="M210" s="9" t="s">
        <v>3481</v>
      </c>
      <c r="N210" s="5" t="str">
        <f t="shared" ref="N210" si="198">TEXT(H210, "DD-MMM-YYY")</f>
        <v>23-May-1996</v>
      </c>
      <c r="O210" s="6" t="s">
        <v>3883</v>
      </c>
    </row>
    <row r="211" spans="1:15" x14ac:dyDescent="0.35">
      <c r="A211" s="3" t="s">
        <v>108</v>
      </c>
      <c r="B211" s="3" t="s">
        <v>109</v>
      </c>
      <c r="C211" s="3" t="s">
        <v>164</v>
      </c>
      <c r="D211" s="3" t="s">
        <v>111</v>
      </c>
      <c r="E211" s="3" t="s">
        <v>112</v>
      </c>
      <c r="F211" s="3" t="s">
        <v>615</v>
      </c>
      <c r="G211" s="3" t="s">
        <v>616</v>
      </c>
      <c r="H211" s="4">
        <v>35639</v>
      </c>
      <c r="I211" s="6" t="s">
        <v>2182</v>
      </c>
      <c r="J211" s="6" t="s">
        <v>2376</v>
      </c>
      <c r="K211" s="6" t="s">
        <v>2757</v>
      </c>
      <c r="L211" s="6" t="s">
        <v>3151</v>
      </c>
      <c r="M211" s="9" t="s">
        <v>3482</v>
      </c>
      <c r="N211" s="5" t="str">
        <f t="shared" ref="N211" si="199">TEXT(H211,"DD-MMM-YYY")</f>
        <v>28-Jul-1997</v>
      </c>
      <c r="O211" s="6" t="s">
        <v>3884</v>
      </c>
    </row>
    <row r="212" spans="1:15" x14ac:dyDescent="0.35">
      <c r="A212" s="3" t="s">
        <v>115</v>
      </c>
      <c r="B212" s="3" t="s">
        <v>116</v>
      </c>
      <c r="C212" s="3" t="s">
        <v>19</v>
      </c>
      <c r="D212" s="3" t="s">
        <v>118</v>
      </c>
      <c r="E212" s="3" t="s">
        <v>119</v>
      </c>
      <c r="F212" s="3" t="s">
        <v>617</v>
      </c>
      <c r="G212" s="3" t="s">
        <v>618</v>
      </c>
      <c r="H212" s="4">
        <v>36043</v>
      </c>
      <c r="I212" s="6" t="s">
        <v>2183</v>
      </c>
      <c r="J212" s="6" t="s">
        <v>2377</v>
      </c>
      <c r="K212" s="6" t="s">
        <v>2758</v>
      </c>
      <c r="L212" s="6" t="s">
        <v>3152</v>
      </c>
      <c r="M212" s="9" t="s">
        <v>3483</v>
      </c>
      <c r="N212" s="5" t="str">
        <f t="shared" ref="N212" si="200">TEXT(H212, "DD-MMM-YYY")</f>
        <v>05-Sept-1998</v>
      </c>
      <c r="O212" s="6" t="s">
        <v>30</v>
      </c>
    </row>
    <row r="213" spans="1:15" x14ac:dyDescent="0.35">
      <c r="A213" s="3" t="s">
        <v>122</v>
      </c>
      <c r="B213" s="3" t="s">
        <v>123</v>
      </c>
      <c r="C213" s="3" t="s">
        <v>33</v>
      </c>
      <c r="D213" s="3" t="s">
        <v>125</v>
      </c>
      <c r="E213" s="3" t="s">
        <v>126</v>
      </c>
      <c r="F213" s="3" t="s">
        <v>619</v>
      </c>
      <c r="G213" s="3" t="s">
        <v>620</v>
      </c>
      <c r="H213" s="4">
        <v>36474</v>
      </c>
      <c r="I213" s="6" t="s">
        <v>2184</v>
      </c>
      <c r="J213" s="6" t="s">
        <v>2378</v>
      </c>
      <c r="K213" s="6" t="s">
        <v>2759</v>
      </c>
      <c r="L213" s="6" t="s">
        <v>3153</v>
      </c>
      <c r="M213" s="9" t="s">
        <v>3484</v>
      </c>
      <c r="N213" s="5" t="str">
        <f t="shared" ref="N213" si="201">TEXT(H213,"DD-MMM-YYY")</f>
        <v>10-Nov-1999</v>
      </c>
      <c r="O213" s="6" t="s">
        <v>44</v>
      </c>
    </row>
    <row r="214" spans="1:15" x14ac:dyDescent="0.35">
      <c r="A214" s="3" t="s">
        <v>129</v>
      </c>
      <c r="B214" s="3" t="s">
        <v>130</v>
      </c>
      <c r="C214" s="3" t="s">
        <v>47</v>
      </c>
      <c r="D214" s="3" t="s">
        <v>132</v>
      </c>
      <c r="E214" s="3" t="s">
        <v>126</v>
      </c>
      <c r="F214" s="3" t="s">
        <v>621</v>
      </c>
      <c r="G214" s="3" t="s">
        <v>622</v>
      </c>
      <c r="H214" s="4">
        <v>31062</v>
      </c>
      <c r="I214" s="6" t="s">
        <v>2185</v>
      </c>
      <c r="J214" s="6" t="s">
        <v>2379</v>
      </c>
      <c r="K214" s="6" t="s">
        <v>2760</v>
      </c>
      <c r="L214" s="6" t="s">
        <v>3151</v>
      </c>
      <c r="M214" s="9" t="s">
        <v>3485</v>
      </c>
      <c r="N214" s="5" t="str">
        <f t="shared" ref="N214" si="202">TEXT(H214, "DD-MMM-YYY")</f>
        <v>15-Jan-1985</v>
      </c>
      <c r="O214" s="6" t="s">
        <v>58</v>
      </c>
    </row>
    <row r="215" spans="1:15" x14ac:dyDescent="0.35">
      <c r="A215" s="3" t="s">
        <v>135</v>
      </c>
      <c r="B215" s="3" t="s">
        <v>136</v>
      </c>
      <c r="C215" s="3" t="s">
        <v>61</v>
      </c>
      <c r="D215" s="3" t="s">
        <v>138</v>
      </c>
      <c r="E215" s="3" t="s">
        <v>139</v>
      </c>
      <c r="F215" s="3" t="s">
        <v>623</v>
      </c>
      <c r="G215" s="3" t="s">
        <v>624</v>
      </c>
      <c r="H215" s="4">
        <v>31491</v>
      </c>
      <c r="I215" s="6" t="s">
        <v>2186</v>
      </c>
      <c r="J215" s="6" t="s">
        <v>1613</v>
      </c>
      <c r="K215" s="6" t="s">
        <v>2761</v>
      </c>
      <c r="L215" s="6" t="s">
        <v>3154</v>
      </c>
      <c r="M215" s="9" t="s">
        <v>3486</v>
      </c>
      <c r="N215" s="5" t="str">
        <f t="shared" ref="N215" si="203">TEXT(H215,"DD-MMM-YYY")</f>
        <v>20-Mar-1986</v>
      </c>
      <c r="O215" s="6" t="s">
        <v>72</v>
      </c>
    </row>
    <row r="216" spans="1:15" x14ac:dyDescent="0.35">
      <c r="A216" s="3" t="s">
        <v>142</v>
      </c>
      <c r="B216" s="3" t="s">
        <v>143</v>
      </c>
      <c r="C216" s="3" t="s">
        <v>75</v>
      </c>
      <c r="D216" s="3" t="s">
        <v>145</v>
      </c>
      <c r="E216" s="3" t="s">
        <v>146</v>
      </c>
      <c r="F216" s="3" t="s">
        <v>625</v>
      </c>
      <c r="G216" s="3" t="s">
        <v>626</v>
      </c>
      <c r="H216" s="4">
        <v>31922</v>
      </c>
      <c r="I216" s="6" t="s">
        <v>2187</v>
      </c>
      <c r="J216" s="6" t="s">
        <v>2380</v>
      </c>
      <c r="K216" s="6" t="s">
        <v>2762</v>
      </c>
      <c r="L216" s="6" t="s">
        <v>3155</v>
      </c>
      <c r="M216" s="9" t="s">
        <v>3487</v>
      </c>
      <c r="N216" s="5" t="str">
        <f t="shared" ref="N216" si="204">TEXT(H216, "DD-MMM-YYY")</f>
        <v>25-May-1987</v>
      </c>
      <c r="O216" s="6" t="s">
        <v>86</v>
      </c>
    </row>
    <row r="217" spans="1:15" x14ac:dyDescent="0.35">
      <c r="A217" s="3" t="s">
        <v>149</v>
      </c>
      <c r="B217" s="3" t="s">
        <v>150</v>
      </c>
      <c r="C217" s="3" t="s">
        <v>89</v>
      </c>
      <c r="D217" s="3" t="s">
        <v>152</v>
      </c>
      <c r="E217" s="3" t="s">
        <v>153</v>
      </c>
      <c r="F217" s="3" t="s">
        <v>627</v>
      </c>
      <c r="G217" s="3" t="s">
        <v>628</v>
      </c>
      <c r="H217" s="4">
        <v>32326</v>
      </c>
      <c r="I217" s="6" t="s">
        <v>2188</v>
      </c>
      <c r="J217" s="6" t="s">
        <v>2381</v>
      </c>
      <c r="K217" s="6" t="s">
        <v>2763</v>
      </c>
      <c r="L217" s="6" t="s">
        <v>3156</v>
      </c>
      <c r="M217" s="9" t="s">
        <v>3488</v>
      </c>
      <c r="N217" s="5" t="str">
        <f t="shared" ref="N217" si="205">TEXT(H217,"DD-MMM-YYY")</f>
        <v>02-Jul-1988</v>
      </c>
      <c r="O217" s="6" t="s">
        <v>100</v>
      </c>
    </row>
    <row r="218" spans="1:15" x14ac:dyDescent="0.35">
      <c r="A218" s="3" t="s">
        <v>156</v>
      </c>
      <c r="B218" s="3" t="s">
        <v>157</v>
      </c>
      <c r="C218" s="3" t="s">
        <v>103</v>
      </c>
      <c r="D218" s="3" t="s">
        <v>159</v>
      </c>
      <c r="E218" s="3" t="s">
        <v>77</v>
      </c>
      <c r="F218" s="3" t="s">
        <v>629</v>
      </c>
      <c r="G218" s="3" t="s">
        <v>630</v>
      </c>
      <c r="H218" s="4">
        <v>32758</v>
      </c>
      <c r="I218" s="6" t="s">
        <v>2189</v>
      </c>
      <c r="J218" s="6" t="s">
        <v>2382</v>
      </c>
      <c r="K218" s="6" t="s">
        <v>2764</v>
      </c>
      <c r="L218" s="6" t="s">
        <v>3157</v>
      </c>
      <c r="M218" s="9" t="s">
        <v>3489</v>
      </c>
      <c r="N218" s="5" t="str">
        <f t="shared" ref="N218" si="206">TEXT(H218, "DD-MMM-YYY")</f>
        <v>07-Sept-1989</v>
      </c>
      <c r="O218" s="6" t="s">
        <v>3875</v>
      </c>
    </row>
    <row r="219" spans="1:15" x14ac:dyDescent="0.35">
      <c r="A219" s="3" t="s">
        <v>162</v>
      </c>
      <c r="B219" s="3" t="s">
        <v>163</v>
      </c>
      <c r="C219" s="3" t="s">
        <v>110</v>
      </c>
      <c r="D219" s="3" t="s">
        <v>165</v>
      </c>
      <c r="E219" s="3" t="s">
        <v>166</v>
      </c>
      <c r="F219" s="3" t="s">
        <v>631</v>
      </c>
      <c r="G219" s="3" t="s">
        <v>632</v>
      </c>
      <c r="H219" s="4">
        <v>33189</v>
      </c>
      <c r="I219" s="6" t="s">
        <v>2190</v>
      </c>
      <c r="J219" s="6" t="s">
        <v>2383</v>
      </c>
      <c r="K219" s="6" t="s">
        <v>2765</v>
      </c>
      <c r="L219" s="6" t="s">
        <v>3158</v>
      </c>
      <c r="M219" s="9" t="s">
        <v>3490</v>
      </c>
      <c r="N219" s="5" t="str">
        <f t="shared" ref="N219" si="207">TEXT(H219,"DD-MMM-YYY")</f>
        <v>12-Nov-1990</v>
      </c>
      <c r="O219" s="6" t="s">
        <v>3876</v>
      </c>
    </row>
    <row r="220" spans="1:15" x14ac:dyDescent="0.35">
      <c r="A220" s="3" t="s">
        <v>169</v>
      </c>
      <c r="B220" s="3" t="s">
        <v>170</v>
      </c>
      <c r="C220" s="3" t="s">
        <v>117</v>
      </c>
      <c r="D220" s="3" t="s">
        <v>171</v>
      </c>
      <c r="E220" s="3" t="s">
        <v>172</v>
      </c>
      <c r="F220" s="3" t="s">
        <v>633</v>
      </c>
      <c r="G220" s="3" t="s">
        <v>634</v>
      </c>
      <c r="H220" s="4">
        <v>33255</v>
      </c>
      <c r="I220" s="6" t="s">
        <v>2191</v>
      </c>
      <c r="J220" s="6" t="s">
        <v>2384</v>
      </c>
      <c r="K220" s="6" t="s">
        <v>2766</v>
      </c>
      <c r="L220" s="6" t="s">
        <v>3159</v>
      </c>
      <c r="M220" s="9" t="s">
        <v>3491</v>
      </c>
      <c r="N220" s="5" t="str">
        <f t="shared" ref="N220" si="208">TEXT(H220, "DD-MMM-YYY")</f>
        <v>17-Jan-1991</v>
      </c>
      <c r="O220" s="6" t="s">
        <v>3877</v>
      </c>
    </row>
    <row r="221" spans="1:15" x14ac:dyDescent="0.35">
      <c r="A221" s="3" t="s">
        <v>175</v>
      </c>
      <c r="B221" s="3" t="s">
        <v>176</v>
      </c>
      <c r="C221" s="3" t="s">
        <v>124</v>
      </c>
      <c r="D221" s="3" t="s">
        <v>162</v>
      </c>
      <c r="E221" s="3" t="s">
        <v>63</v>
      </c>
      <c r="F221" s="3" t="s">
        <v>635</v>
      </c>
      <c r="G221" s="3" t="s">
        <v>636</v>
      </c>
      <c r="H221" s="4">
        <v>33685</v>
      </c>
      <c r="I221" s="6" t="s">
        <v>2192</v>
      </c>
      <c r="J221" s="6" t="s">
        <v>2385</v>
      </c>
      <c r="K221" s="6" t="s">
        <v>2767</v>
      </c>
      <c r="L221" s="6" t="s">
        <v>3160</v>
      </c>
      <c r="M221" s="9" t="s">
        <v>3492</v>
      </c>
      <c r="N221" s="5" t="str">
        <f t="shared" ref="N221" si="209">TEXT(H221,"DD-MMM-YYY")</f>
        <v>22-Mar-1992</v>
      </c>
      <c r="O221" s="6" t="s">
        <v>3878</v>
      </c>
    </row>
    <row r="222" spans="1:15" x14ac:dyDescent="0.35">
      <c r="A222" s="3" t="s">
        <v>179</v>
      </c>
      <c r="B222" s="3" t="s">
        <v>180</v>
      </c>
      <c r="C222" s="3" t="s">
        <v>131</v>
      </c>
      <c r="D222" s="3" t="s">
        <v>181</v>
      </c>
      <c r="E222" s="3" t="s">
        <v>182</v>
      </c>
      <c r="F222" s="3" t="s">
        <v>637</v>
      </c>
      <c r="G222" s="3" t="s">
        <v>638</v>
      </c>
      <c r="H222" s="4">
        <v>34116</v>
      </c>
      <c r="I222" s="6" t="s">
        <v>2193</v>
      </c>
      <c r="J222" s="6" t="s">
        <v>2386</v>
      </c>
      <c r="K222" s="6" t="s">
        <v>2768</v>
      </c>
      <c r="L222" s="6" t="s">
        <v>27</v>
      </c>
      <c r="M222" s="9" t="s">
        <v>3493</v>
      </c>
      <c r="N222" s="5" t="str">
        <f t="shared" ref="N222" si="210">TEXT(H222, "DD-MMM-YYY")</f>
        <v>27-May-1993</v>
      </c>
      <c r="O222" s="6" t="s">
        <v>3879</v>
      </c>
    </row>
    <row r="223" spans="1:15" x14ac:dyDescent="0.35">
      <c r="A223" s="3" t="s">
        <v>185</v>
      </c>
      <c r="B223" s="3" t="s">
        <v>186</v>
      </c>
      <c r="C223" s="3" t="s">
        <v>137</v>
      </c>
      <c r="D223" s="3" t="s">
        <v>187</v>
      </c>
      <c r="E223" s="3" t="s">
        <v>188</v>
      </c>
      <c r="F223" s="3" t="s">
        <v>639</v>
      </c>
      <c r="G223" s="3" t="s">
        <v>640</v>
      </c>
      <c r="H223" s="4">
        <v>34519</v>
      </c>
      <c r="I223" s="6" t="s">
        <v>2194</v>
      </c>
      <c r="J223" s="6" t="s">
        <v>2387</v>
      </c>
      <c r="K223" s="6" t="s">
        <v>2769</v>
      </c>
      <c r="L223" s="6" t="s">
        <v>3161</v>
      </c>
      <c r="M223" s="9" t="s">
        <v>3494</v>
      </c>
      <c r="N223" s="5" t="str">
        <f t="shared" ref="N223" si="211">TEXT(H223,"DD-MMM-YYY")</f>
        <v>04-Jul-1994</v>
      </c>
      <c r="O223" s="6" t="s">
        <v>3880</v>
      </c>
    </row>
    <row r="224" spans="1:15" x14ac:dyDescent="0.35">
      <c r="A224" s="3" t="s">
        <v>191</v>
      </c>
      <c r="B224" s="3" t="s">
        <v>192</v>
      </c>
      <c r="C224" s="3" t="s">
        <v>144</v>
      </c>
      <c r="D224" s="3" t="s">
        <v>20</v>
      </c>
      <c r="E224" s="3" t="s">
        <v>21</v>
      </c>
      <c r="F224" s="3" t="s">
        <v>641</v>
      </c>
      <c r="G224" s="3" t="s">
        <v>642</v>
      </c>
      <c r="H224" s="4">
        <v>34951</v>
      </c>
      <c r="I224" s="6" t="s">
        <v>2195</v>
      </c>
      <c r="J224" s="6" t="s">
        <v>2388</v>
      </c>
      <c r="K224" s="6" t="s">
        <v>2770</v>
      </c>
      <c r="L224" s="6" t="s">
        <v>3162</v>
      </c>
      <c r="M224" s="9" t="s">
        <v>3495</v>
      </c>
      <c r="N224" s="5" t="str">
        <f t="shared" ref="N224" si="212">TEXT(H224, "DD-MMM-YYY")</f>
        <v>09-Sept-1995</v>
      </c>
      <c r="O224" s="6" t="s">
        <v>3881</v>
      </c>
    </row>
    <row r="225" spans="1:15" x14ac:dyDescent="0.35">
      <c r="A225" s="3" t="s">
        <v>195</v>
      </c>
      <c r="B225" s="3" t="s">
        <v>196</v>
      </c>
      <c r="C225" s="3" t="s">
        <v>151</v>
      </c>
      <c r="D225" s="3" t="s">
        <v>34</v>
      </c>
      <c r="E225" s="3" t="s">
        <v>35</v>
      </c>
      <c r="F225" s="3" t="s">
        <v>643</v>
      </c>
      <c r="G225" s="3" t="s">
        <v>644</v>
      </c>
      <c r="H225" s="4">
        <v>35383</v>
      </c>
      <c r="I225" s="6" t="s">
        <v>2196</v>
      </c>
      <c r="J225" s="6" t="s">
        <v>1528</v>
      </c>
      <c r="K225" s="6" t="s">
        <v>2771</v>
      </c>
      <c r="L225" s="6" t="s">
        <v>3163</v>
      </c>
      <c r="M225" s="9" t="s">
        <v>3496</v>
      </c>
      <c r="N225" s="5" t="str">
        <f t="shared" ref="N225" si="213">TEXT(H225,"DD-MMM-YYY")</f>
        <v>14-Nov-1996</v>
      </c>
      <c r="O225" s="6" t="s">
        <v>3882</v>
      </c>
    </row>
    <row r="226" spans="1:15" x14ac:dyDescent="0.35">
      <c r="A226" s="3" t="s">
        <v>199</v>
      </c>
      <c r="B226" s="3" t="s">
        <v>200</v>
      </c>
      <c r="C226" s="3" t="s">
        <v>158</v>
      </c>
      <c r="D226" s="3" t="s">
        <v>48</v>
      </c>
      <c r="E226" s="3" t="s">
        <v>49</v>
      </c>
      <c r="F226" s="3" t="s">
        <v>645</v>
      </c>
      <c r="G226" s="3" t="s">
        <v>646</v>
      </c>
      <c r="H226" s="4">
        <v>35449</v>
      </c>
      <c r="I226" s="6" t="s">
        <v>2197</v>
      </c>
      <c r="J226" s="6" t="s">
        <v>2389</v>
      </c>
      <c r="K226" s="6" t="s">
        <v>2772</v>
      </c>
      <c r="L226" s="6" t="s">
        <v>97</v>
      </c>
      <c r="M226" s="9" t="s">
        <v>3497</v>
      </c>
      <c r="N226" s="5" t="str">
        <f t="shared" ref="N226" si="214">TEXT(H226, "DD-MMM-YYY")</f>
        <v>19-Jan-1997</v>
      </c>
      <c r="O226" s="6" t="s">
        <v>3883</v>
      </c>
    </row>
    <row r="227" spans="1:15" x14ac:dyDescent="0.35">
      <c r="A227" s="3" t="s">
        <v>203</v>
      </c>
      <c r="B227" s="3" t="s">
        <v>204</v>
      </c>
      <c r="C227" s="3" t="s">
        <v>164</v>
      </c>
      <c r="D227" s="3" t="s">
        <v>62</v>
      </c>
      <c r="E227" s="3" t="s">
        <v>63</v>
      </c>
      <c r="F227" s="3" t="s">
        <v>647</v>
      </c>
      <c r="G227" s="3" t="s">
        <v>648</v>
      </c>
      <c r="H227" s="4">
        <v>35878</v>
      </c>
      <c r="I227" s="6" t="s">
        <v>2198</v>
      </c>
      <c r="J227" s="6" t="s">
        <v>2390</v>
      </c>
      <c r="K227" s="6" t="s">
        <v>2773</v>
      </c>
      <c r="L227" s="6" t="s">
        <v>3164</v>
      </c>
      <c r="M227" s="9" t="s">
        <v>3498</v>
      </c>
      <c r="N227" s="5" t="str">
        <f t="shared" ref="N227" si="215">TEXT(H227,"DD-MMM-YYY")</f>
        <v>24-Mar-1998</v>
      </c>
      <c r="O227" s="6" t="s">
        <v>3884</v>
      </c>
    </row>
    <row r="228" spans="1:15" x14ac:dyDescent="0.35">
      <c r="A228" s="3" t="s">
        <v>207</v>
      </c>
      <c r="B228" s="3" t="s">
        <v>208</v>
      </c>
      <c r="C228" s="3" t="s">
        <v>19</v>
      </c>
      <c r="D228" s="3" t="s">
        <v>76</v>
      </c>
      <c r="E228" s="3" t="s">
        <v>77</v>
      </c>
      <c r="F228" s="3" t="s">
        <v>649</v>
      </c>
      <c r="G228" s="3" t="s">
        <v>650</v>
      </c>
      <c r="H228" s="4">
        <v>36281</v>
      </c>
      <c r="I228" s="6" t="s">
        <v>2199</v>
      </c>
      <c r="J228" s="6" t="s">
        <v>2391</v>
      </c>
      <c r="K228" s="6" t="s">
        <v>2774</v>
      </c>
      <c r="L228" s="6" t="s">
        <v>3165</v>
      </c>
      <c r="M228" s="9" t="s">
        <v>3499</v>
      </c>
      <c r="N228" s="5" t="str">
        <f t="shared" ref="N228" si="216">TEXT(H228, "DD-MMM-YYY")</f>
        <v>01-May-1999</v>
      </c>
      <c r="O228" s="6" t="s">
        <v>30</v>
      </c>
    </row>
    <row r="229" spans="1:15" x14ac:dyDescent="0.35">
      <c r="A229" s="3" t="s">
        <v>211</v>
      </c>
      <c r="B229" s="3" t="s">
        <v>212</v>
      </c>
      <c r="C229" s="3" t="s">
        <v>33</v>
      </c>
      <c r="D229" s="3" t="s">
        <v>90</v>
      </c>
      <c r="E229" s="3" t="s">
        <v>91</v>
      </c>
      <c r="F229" s="3" t="s">
        <v>651</v>
      </c>
      <c r="G229" s="3" t="s">
        <v>652</v>
      </c>
      <c r="H229" s="4">
        <v>31234</v>
      </c>
      <c r="I229" s="6" t="s">
        <v>2200</v>
      </c>
      <c r="J229" s="6" t="s">
        <v>2392</v>
      </c>
      <c r="K229" s="6" t="s">
        <v>2775</v>
      </c>
      <c r="L229" s="6" t="s">
        <v>3166</v>
      </c>
      <c r="M229" s="9" t="s">
        <v>3500</v>
      </c>
      <c r="N229" s="5" t="str">
        <f t="shared" ref="N229" si="217">TEXT(H229,"DD-MMM-YYY")</f>
        <v>06-Jul-1985</v>
      </c>
      <c r="O229" s="6" t="s">
        <v>44</v>
      </c>
    </row>
    <row r="230" spans="1:15" x14ac:dyDescent="0.35">
      <c r="A230" s="3" t="s">
        <v>215</v>
      </c>
      <c r="B230" s="3" t="s">
        <v>216</v>
      </c>
      <c r="C230" s="3" t="s">
        <v>47</v>
      </c>
      <c r="D230" s="3" t="s">
        <v>104</v>
      </c>
      <c r="E230" s="3" t="s">
        <v>105</v>
      </c>
      <c r="F230" s="3" t="s">
        <v>653</v>
      </c>
      <c r="G230" s="3" t="s">
        <v>654</v>
      </c>
      <c r="H230" s="4">
        <v>31666</v>
      </c>
      <c r="I230" s="6" t="s">
        <v>2201</v>
      </c>
      <c r="J230" s="6" t="s">
        <v>2393</v>
      </c>
      <c r="K230" s="6" t="s">
        <v>2776</v>
      </c>
      <c r="L230" s="6" t="s">
        <v>41</v>
      </c>
      <c r="M230" s="9" t="s">
        <v>3501</v>
      </c>
      <c r="N230" s="5" t="str">
        <f t="shared" ref="N230" si="218">TEXT(H230, "DD-MMM-YYY")</f>
        <v>11-Sept-1986</v>
      </c>
      <c r="O230" s="6" t="s">
        <v>58</v>
      </c>
    </row>
    <row r="231" spans="1:15" x14ac:dyDescent="0.35">
      <c r="A231" s="3" t="s">
        <v>219</v>
      </c>
      <c r="B231" s="3" t="s">
        <v>220</v>
      </c>
      <c r="C231" s="3" t="s">
        <v>61</v>
      </c>
      <c r="D231" s="3" t="s">
        <v>111</v>
      </c>
      <c r="E231" s="3" t="s">
        <v>112</v>
      </c>
      <c r="F231" s="3" t="s">
        <v>655</v>
      </c>
      <c r="G231" s="3" t="s">
        <v>656</v>
      </c>
      <c r="H231" s="4">
        <v>32097</v>
      </c>
      <c r="I231" s="6" t="s">
        <v>2202</v>
      </c>
      <c r="J231" s="6" t="s">
        <v>2394</v>
      </c>
      <c r="K231" s="6" t="s">
        <v>2777</v>
      </c>
      <c r="L231" s="6" t="s">
        <v>3167</v>
      </c>
      <c r="M231" s="9" t="s">
        <v>3502</v>
      </c>
      <c r="N231" s="5" t="str">
        <f t="shared" ref="N231" si="219">TEXT(H231,"DD-MMM-YYY")</f>
        <v>16-Nov-1987</v>
      </c>
      <c r="O231" s="6" t="s">
        <v>72</v>
      </c>
    </row>
    <row r="232" spans="1:15" x14ac:dyDescent="0.35">
      <c r="A232" s="3" t="s">
        <v>223</v>
      </c>
      <c r="B232" s="3" t="s">
        <v>224</v>
      </c>
      <c r="C232" s="3" t="s">
        <v>75</v>
      </c>
      <c r="D232" s="3" t="s">
        <v>118</v>
      </c>
      <c r="E232" s="3" t="s">
        <v>119</v>
      </c>
      <c r="F232" s="3" t="s">
        <v>657</v>
      </c>
      <c r="G232" s="3" t="s">
        <v>658</v>
      </c>
      <c r="H232" s="4">
        <v>32163</v>
      </c>
      <c r="I232" s="6" t="s">
        <v>2203</v>
      </c>
      <c r="J232" s="6" t="s">
        <v>2395</v>
      </c>
      <c r="K232" s="6" t="s">
        <v>2778</v>
      </c>
      <c r="L232" s="6" t="s">
        <v>3168</v>
      </c>
      <c r="M232" s="9" t="s">
        <v>3503</v>
      </c>
      <c r="N232" s="5" t="str">
        <f t="shared" ref="N232" si="220">TEXT(H232, "DD-MMM-YYY")</f>
        <v>21-Jan-1988</v>
      </c>
      <c r="O232" s="6" t="s">
        <v>86</v>
      </c>
    </row>
    <row r="233" spans="1:15" x14ac:dyDescent="0.35">
      <c r="A233" s="3" t="s">
        <v>227</v>
      </c>
      <c r="B233" s="3" t="s">
        <v>228</v>
      </c>
      <c r="C233" s="3" t="s">
        <v>89</v>
      </c>
      <c r="D233" s="3" t="s">
        <v>125</v>
      </c>
      <c r="E233" s="3" t="s">
        <v>126</v>
      </c>
      <c r="F233" s="3" t="s">
        <v>659</v>
      </c>
      <c r="G233" s="3" t="s">
        <v>660</v>
      </c>
      <c r="H233" s="4">
        <v>32593</v>
      </c>
      <c r="I233" s="6" t="s">
        <v>2204</v>
      </c>
      <c r="J233" s="6" t="s">
        <v>2396</v>
      </c>
      <c r="K233" s="6" t="s">
        <v>2779</v>
      </c>
      <c r="L233" s="6" t="s">
        <v>3169</v>
      </c>
      <c r="M233" s="9" t="s">
        <v>3504</v>
      </c>
      <c r="N233" s="5" t="str">
        <f t="shared" ref="N233" si="221">TEXT(H233,"DD-MMM-YYY")</f>
        <v>26-Mar-1989</v>
      </c>
      <c r="O233" s="6" t="s">
        <v>100</v>
      </c>
    </row>
    <row r="234" spans="1:15" x14ac:dyDescent="0.35">
      <c r="A234" s="3" t="s">
        <v>231</v>
      </c>
      <c r="B234" s="3" t="s">
        <v>232</v>
      </c>
      <c r="C234" s="3" t="s">
        <v>103</v>
      </c>
      <c r="D234" s="3" t="s">
        <v>132</v>
      </c>
      <c r="E234" s="3" t="s">
        <v>126</v>
      </c>
      <c r="F234" s="3" t="s">
        <v>661</v>
      </c>
      <c r="G234" s="3" t="s">
        <v>662</v>
      </c>
      <c r="H234" s="4">
        <v>32996</v>
      </c>
      <c r="I234" s="6" t="s">
        <v>2205</v>
      </c>
      <c r="J234" s="6" t="s">
        <v>2397</v>
      </c>
      <c r="K234" s="6" t="s">
        <v>2780</v>
      </c>
      <c r="L234" s="6" t="s">
        <v>3170</v>
      </c>
      <c r="M234" s="9" t="s">
        <v>3505</v>
      </c>
      <c r="N234" s="5" t="str">
        <f t="shared" ref="N234" si="222">TEXT(H234, "DD-MMM-YYY")</f>
        <v>03-May-1990</v>
      </c>
      <c r="O234" s="6" t="s">
        <v>3875</v>
      </c>
    </row>
    <row r="235" spans="1:15" x14ac:dyDescent="0.35">
      <c r="A235" s="3" t="s">
        <v>235</v>
      </c>
      <c r="B235" s="3" t="s">
        <v>236</v>
      </c>
      <c r="C235" s="3" t="s">
        <v>110</v>
      </c>
      <c r="D235" s="3" t="s">
        <v>138</v>
      </c>
      <c r="E235" s="3" t="s">
        <v>139</v>
      </c>
      <c r="F235" s="3" t="s">
        <v>663</v>
      </c>
      <c r="G235" s="3" t="s">
        <v>664</v>
      </c>
      <c r="H235" s="4">
        <v>33427</v>
      </c>
      <c r="I235" s="6" t="s">
        <v>2206</v>
      </c>
      <c r="J235" s="6" t="s">
        <v>1673</v>
      </c>
      <c r="K235" s="6" t="s">
        <v>2781</v>
      </c>
      <c r="L235" s="6" t="s">
        <v>3171</v>
      </c>
      <c r="M235" s="9" t="s">
        <v>3506</v>
      </c>
      <c r="N235" s="5" t="str">
        <f t="shared" ref="N235" si="223">TEXT(H235,"DD-MMM-YYY")</f>
        <v>08-Jul-1991</v>
      </c>
      <c r="O235" s="6" t="s">
        <v>3876</v>
      </c>
    </row>
    <row r="236" spans="1:15" x14ac:dyDescent="0.35">
      <c r="A236" s="3" t="s">
        <v>239</v>
      </c>
      <c r="B236" s="3" t="s">
        <v>240</v>
      </c>
      <c r="C236" s="3" t="s">
        <v>117</v>
      </c>
      <c r="D236" s="3" t="s">
        <v>145</v>
      </c>
      <c r="E236" s="3" t="s">
        <v>146</v>
      </c>
      <c r="F236" s="3" t="s">
        <v>665</v>
      </c>
      <c r="G236" s="3" t="s">
        <v>666</v>
      </c>
      <c r="H236" s="4">
        <v>33860</v>
      </c>
      <c r="I236" s="6" t="s">
        <v>2207</v>
      </c>
      <c r="J236" s="6" t="s">
        <v>2398</v>
      </c>
      <c r="K236" s="6" t="s">
        <v>2782</v>
      </c>
      <c r="L236" s="6" t="s">
        <v>3172</v>
      </c>
      <c r="M236" s="9" t="s">
        <v>3507</v>
      </c>
      <c r="N236" s="5" t="str">
        <f t="shared" ref="N236" si="224">TEXT(H236, "DD-MMM-YYY")</f>
        <v>13-Sept-1992</v>
      </c>
      <c r="O236" s="6" t="s">
        <v>3877</v>
      </c>
    </row>
    <row r="237" spans="1:15" x14ac:dyDescent="0.35">
      <c r="A237" s="3" t="s">
        <v>243</v>
      </c>
      <c r="B237" s="3" t="s">
        <v>244</v>
      </c>
      <c r="C237" s="3" t="s">
        <v>124</v>
      </c>
      <c r="D237" s="3" t="s">
        <v>152</v>
      </c>
      <c r="E237" s="3" t="s">
        <v>153</v>
      </c>
      <c r="F237" s="3" t="s">
        <v>667</v>
      </c>
      <c r="G237" s="3" t="s">
        <v>668</v>
      </c>
      <c r="H237" s="4">
        <v>34291</v>
      </c>
      <c r="I237" s="6" t="s">
        <v>2208</v>
      </c>
      <c r="J237" s="6" t="s">
        <v>2399</v>
      </c>
      <c r="K237" s="6" t="s">
        <v>2783</v>
      </c>
      <c r="L237" s="6" t="s">
        <v>3173</v>
      </c>
      <c r="M237" s="9" t="s">
        <v>3508</v>
      </c>
      <c r="N237" s="5" t="str">
        <f t="shared" ref="N237" si="225">TEXT(H237,"DD-MMM-YYY")</f>
        <v>18-Nov-1993</v>
      </c>
      <c r="O237" s="6" t="s">
        <v>3878</v>
      </c>
    </row>
    <row r="238" spans="1:15" x14ac:dyDescent="0.35">
      <c r="A238" s="3" t="s">
        <v>247</v>
      </c>
      <c r="B238" s="3" t="s">
        <v>248</v>
      </c>
      <c r="C238" s="3" t="s">
        <v>131</v>
      </c>
      <c r="D238" s="3" t="s">
        <v>159</v>
      </c>
      <c r="E238" s="3" t="s">
        <v>77</v>
      </c>
      <c r="F238" s="3" t="s">
        <v>669</v>
      </c>
      <c r="G238" s="3" t="s">
        <v>670</v>
      </c>
      <c r="H238" s="4">
        <v>34357</v>
      </c>
      <c r="I238" s="6" t="s">
        <v>2209</v>
      </c>
      <c r="J238" s="6" t="s">
        <v>2400</v>
      </c>
      <c r="K238" s="6" t="s">
        <v>2784</v>
      </c>
      <c r="L238" s="6" t="s">
        <v>3174</v>
      </c>
      <c r="M238" s="9" t="s">
        <v>3509</v>
      </c>
      <c r="N238" s="5" t="str">
        <f t="shared" ref="N238" si="226">TEXT(H238, "DD-MMM-YYY")</f>
        <v>23-Jan-1994</v>
      </c>
      <c r="O238" s="6" t="s">
        <v>3879</v>
      </c>
    </row>
    <row r="239" spans="1:15" x14ac:dyDescent="0.35">
      <c r="A239" s="3" t="s">
        <v>251</v>
      </c>
      <c r="B239" s="3" t="s">
        <v>252</v>
      </c>
      <c r="C239" s="3" t="s">
        <v>137</v>
      </c>
      <c r="D239" s="3" t="s">
        <v>165</v>
      </c>
      <c r="E239" s="3" t="s">
        <v>166</v>
      </c>
      <c r="F239" s="3" t="s">
        <v>671</v>
      </c>
      <c r="G239" s="3" t="s">
        <v>672</v>
      </c>
      <c r="H239" s="4">
        <v>34786</v>
      </c>
      <c r="I239" s="6" t="s">
        <v>2210</v>
      </c>
      <c r="J239" s="6" t="s">
        <v>2401</v>
      </c>
      <c r="K239" s="6" t="s">
        <v>2785</v>
      </c>
      <c r="L239" s="6" t="s">
        <v>3175</v>
      </c>
      <c r="M239" s="9" t="s">
        <v>3510</v>
      </c>
      <c r="N239" s="5" t="str">
        <f t="shared" ref="N239" si="227">TEXT(H239,"DD-MMM-YYY")</f>
        <v>28-Mar-1995</v>
      </c>
      <c r="O239" s="6" t="s">
        <v>3880</v>
      </c>
    </row>
    <row r="240" spans="1:15" x14ac:dyDescent="0.35">
      <c r="A240" s="3" t="s">
        <v>255</v>
      </c>
      <c r="B240" s="3" t="s">
        <v>256</v>
      </c>
      <c r="C240" s="3" t="s">
        <v>144</v>
      </c>
      <c r="D240" s="3" t="s">
        <v>171</v>
      </c>
      <c r="E240" s="3" t="s">
        <v>172</v>
      </c>
      <c r="F240" s="3" t="s">
        <v>673</v>
      </c>
      <c r="G240" s="3" t="s">
        <v>674</v>
      </c>
      <c r="H240" s="4">
        <v>35190</v>
      </c>
      <c r="I240" s="6" t="s">
        <v>2211</v>
      </c>
      <c r="J240" s="6" t="s">
        <v>2402</v>
      </c>
      <c r="K240" s="6" t="s">
        <v>2786</v>
      </c>
      <c r="L240" s="6" t="s">
        <v>3176</v>
      </c>
      <c r="M240" s="9" t="s">
        <v>3511</v>
      </c>
      <c r="N240" s="5" t="str">
        <f t="shared" ref="N240" si="228">TEXT(H240, "DD-MMM-YYY")</f>
        <v>05-May-1996</v>
      </c>
      <c r="O240" s="6" t="s">
        <v>3881</v>
      </c>
    </row>
    <row r="241" spans="1:15" x14ac:dyDescent="0.35">
      <c r="A241" s="3" t="s">
        <v>259</v>
      </c>
      <c r="B241" s="3" t="s">
        <v>260</v>
      </c>
      <c r="C241" s="3" t="s">
        <v>151</v>
      </c>
      <c r="D241" s="3" t="s">
        <v>162</v>
      </c>
      <c r="E241" s="3" t="s">
        <v>63</v>
      </c>
      <c r="F241" s="3" t="s">
        <v>675</v>
      </c>
      <c r="G241" s="3" t="s">
        <v>676</v>
      </c>
      <c r="H241" s="4">
        <v>35621</v>
      </c>
      <c r="I241" s="6" t="s">
        <v>2212</v>
      </c>
      <c r="J241" s="6" t="s">
        <v>2403</v>
      </c>
      <c r="K241" s="6" t="s">
        <v>2787</v>
      </c>
      <c r="L241" s="6" t="s">
        <v>3177</v>
      </c>
      <c r="M241" s="9" t="s">
        <v>3512</v>
      </c>
      <c r="N241" s="5" t="str">
        <f t="shared" ref="N241" si="229">TEXT(H241,"DD-MMM-YYY")</f>
        <v>10-Jul-1997</v>
      </c>
      <c r="O241" s="6" t="s">
        <v>3882</v>
      </c>
    </row>
    <row r="242" spans="1:15" x14ac:dyDescent="0.35">
      <c r="A242" s="3" t="s">
        <v>263</v>
      </c>
      <c r="B242" s="3" t="s">
        <v>264</v>
      </c>
      <c r="C242" s="3" t="s">
        <v>158</v>
      </c>
      <c r="D242" s="3" t="s">
        <v>181</v>
      </c>
      <c r="E242" s="3" t="s">
        <v>182</v>
      </c>
      <c r="F242" s="3" t="s">
        <v>677</v>
      </c>
      <c r="G242" s="3" t="s">
        <v>678</v>
      </c>
      <c r="H242" s="4">
        <v>36053</v>
      </c>
      <c r="I242" s="6" t="s">
        <v>2213</v>
      </c>
      <c r="J242" s="6" t="s">
        <v>2404</v>
      </c>
      <c r="K242" s="6" t="s">
        <v>2788</v>
      </c>
      <c r="L242" s="6" t="s">
        <v>3178</v>
      </c>
      <c r="M242" s="9" t="s">
        <v>3513</v>
      </c>
      <c r="N242" s="5" t="str">
        <f t="shared" ref="N242" si="230">TEXT(H242, "DD-MMM-YYY")</f>
        <v>15-Sept-1998</v>
      </c>
      <c r="O242" s="6" t="s">
        <v>3883</v>
      </c>
    </row>
    <row r="243" spans="1:15" x14ac:dyDescent="0.35">
      <c r="A243" s="3" t="s">
        <v>267</v>
      </c>
      <c r="B243" s="3" t="s">
        <v>268</v>
      </c>
      <c r="C243" s="3" t="s">
        <v>164</v>
      </c>
      <c r="D243" s="3" t="s">
        <v>187</v>
      </c>
      <c r="E243" s="3" t="s">
        <v>188</v>
      </c>
      <c r="F243" s="3" t="s">
        <v>679</v>
      </c>
      <c r="G243" s="3" t="s">
        <v>680</v>
      </c>
      <c r="H243" s="4">
        <v>36484</v>
      </c>
      <c r="I243" s="6" t="s">
        <v>2214</v>
      </c>
      <c r="J243" s="6" t="s">
        <v>2405</v>
      </c>
      <c r="K243" s="6" t="s">
        <v>2789</v>
      </c>
      <c r="L243" s="6" t="s">
        <v>3179</v>
      </c>
      <c r="M243" s="9" t="s">
        <v>3514</v>
      </c>
      <c r="N243" s="5" t="str">
        <f t="shared" ref="N243" si="231">TEXT(H243,"DD-MMM-YYY")</f>
        <v>20-Nov-1999</v>
      </c>
      <c r="O243" s="6" t="s">
        <v>3884</v>
      </c>
    </row>
    <row r="244" spans="1:15" x14ac:dyDescent="0.35">
      <c r="A244" s="3" t="s">
        <v>271</v>
      </c>
      <c r="B244" s="3" t="s">
        <v>18</v>
      </c>
      <c r="C244" s="3" t="s">
        <v>19</v>
      </c>
      <c r="D244" s="3" t="s">
        <v>20</v>
      </c>
      <c r="E244" s="3" t="s">
        <v>21</v>
      </c>
      <c r="F244" s="3" t="s">
        <v>681</v>
      </c>
      <c r="G244" s="3" t="s">
        <v>682</v>
      </c>
      <c r="H244" s="4">
        <v>31072</v>
      </c>
      <c r="I244" s="6" t="s">
        <v>2215</v>
      </c>
      <c r="J244" s="6" t="s">
        <v>2406</v>
      </c>
      <c r="K244" s="6" t="s">
        <v>2790</v>
      </c>
      <c r="L244" s="6" t="s">
        <v>3180</v>
      </c>
      <c r="M244" s="9" t="s">
        <v>3515</v>
      </c>
      <c r="N244" s="5" t="str">
        <f t="shared" ref="N244" si="232">TEXT(H244, "DD-MMM-YYY")</f>
        <v>25-Jan-1985</v>
      </c>
      <c r="O244" s="6" t="s">
        <v>30</v>
      </c>
    </row>
    <row r="245" spans="1:15" x14ac:dyDescent="0.35">
      <c r="A245" s="3" t="s">
        <v>274</v>
      </c>
      <c r="B245" s="3" t="s">
        <v>32</v>
      </c>
      <c r="C245" s="3" t="s">
        <v>33</v>
      </c>
      <c r="D245" s="3" t="s">
        <v>34</v>
      </c>
      <c r="E245" s="3" t="s">
        <v>35</v>
      </c>
      <c r="F245" s="3" t="s">
        <v>683</v>
      </c>
      <c r="G245" s="3" t="s">
        <v>684</v>
      </c>
      <c r="H245" s="4">
        <v>31473</v>
      </c>
      <c r="I245" s="6" t="s">
        <v>2216</v>
      </c>
      <c r="J245" s="6" t="s">
        <v>1603</v>
      </c>
      <c r="K245" s="6" t="s">
        <v>2791</v>
      </c>
      <c r="L245" s="6" t="s">
        <v>3181</v>
      </c>
      <c r="M245" s="9" t="s">
        <v>3516</v>
      </c>
      <c r="N245" s="5" t="str">
        <f t="shared" ref="N245" si="233">TEXT(H245,"DD-MMM-YYY")</f>
        <v>02-Mar-1986</v>
      </c>
      <c r="O245" s="6" t="s">
        <v>44</v>
      </c>
    </row>
    <row r="246" spans="1:15" x14ac:dyDescent="0.35">
      <c r="A246" s="3" t="s">
        <v>277</v>
      </c>
      <c r="B246" s="3" t="s">
        <v>46</v>
      </c>
      <c r="C246" s="3" t="s">
        <v>47</v>
      </c>
      <c r="D246" s="3" t="s">
        <v>48</v>
      </c>
      <c r="E246" s="3" t="s">
        <v>49</v>
      </c>
      <c r="F246" s="3" t="s">
        <v>685</v>
      </c>
      <c r="G246" s="3" t="s">
        <v>686</v>
      </c>
      <c r="H246" s="4">
        <v>31904</v>
      </c>
      <c r="I246" s="6" t="s">
        <v>2217</v>
      </c>
      <c r="J246" s="6" t="s">
        <v>2407</v>
      </c>
      <c r="K246" s="6" t="s">
        <v>2792</v>
      </c>
      <c r="L246" s="6" t="s">
        <v>3182</v>
      </c>
      <c r="M246" s="9" t="s">
        <v>3517</v>
      </c>
      <c r="N246" s="5" t="str">
        <f t="shared" ref="N246" si="234">TEXT(H246, "DD-MMM-YYY")</f>
        <v>07-May-1987</v>
      </c>
      <c r="O246" s="6" t="s">
        <v>58</v>
      </c>
    </row>
    <row r="247" spans="1:15" x14ac:dyDescent="0.35">
      <c r="A247" s="3" t="s">
        <v>280</v>
      </c>
      <c r="B247" s="3" t="s">
        <v>60</v>
      </c>
      <c r="C247" s="3" t="s">
        <v>61</v>
      </c>
      <c r="D247" s="3" t="s">
        <v>62</v>
      </c>
      <c r="E247" s="3" t="s">
        <v>63</v>
      </c>
      <c r="F247" s="3" t="s">
        <v>687</v>
      </c>
      <c r="G247" s="3" t="s">
        <v>688</v>
      </c>
      <c r="H247" s="4">
        <v>32336</v>
      </c>
      <c r="I247" s="6" t="s">
        <v>2218</v>
      </c>
      <c r="J247" s="6" t="s">
        <v>2408</v>
      </c>
      <c r="K247" s="6" t="s">
        <v>2793</v>
      </c>
      <c r="L247" s="6" t="s">
        <v>3183</v>
      </c>
      <c r="M247" s="9" t="s">
        <v>3518</v>
      </c>
      <c r="N247" s="5" t="str">
        <f t="shared" ref="N247" si="235">TEXT(H247,"DD-MMM-YYY")</f>
        <v>12-Jul-1988</v>
      </c>
      <c r="O247" s="6" t="s">
        <v>72</v>
      </c>
    </row>
    <row r="248" spans="1:15" x14ac:dyDescent="0.35">
      <c r="A248" s="3" t="s">
        <v>283</v>
      </c>
      <c r="B248" s="3" t="s">
        <v>74</v>
      </c>
      <c r="C248" s="3" t="s">
        <v>75</v>
      </c>
      <c r="D248" s="3" t="s">
        <v>76</v>
      </c>
      <c r="E248" s="3" t="s">
        <v>77</v>
      </c>
      <c r="F248" s="3" t="s">
        <v>689</v>
      </c>
      <c r="G248" s="3" t="s">
        <v>690</v>
      </c>
      <c r="H248" s="4">
        <v>32768</v>
      </c>
      <c r="I248" s="6" t="s">
        <v>2219</v>
      </c>
      <c r="J248" s="6" t="s">
        <v>2409</v>
      </c>
      <c r="K248" s="6" t="s">
        <v>2794</v>
      </c>
      <c r="L248" s="6" t="s">
        <v>3184</v>
      </c>
      <c r="M248" s="9" t="s">
        <v>3519</v>
      </c>
      <c r="N248" s="5" t="str">
        <f t="shared" ref="N248" si="236">TEXT(H248, "DD-MMM-YYY")</f>
        <v>17-Sept-1989</v>
      </c>
      <c r="O248" s="6" t="s">
        <v>86</v>
      </c>
    </row>
    <row r="249" spans="1:15" x14ac:dyDescent="0.35">
      <c r="A249" s="3" t="s">
        <v>286</v>
      </c>
      <c r="B249" s="3" t="s">
        <v>88</v>
      </c>
      <c r="C249" s="3" t="s">
        <v>89</v>
      </c>
      <c r="D249" s="3" t="s">
        <v>90</v>
      </c>
      <c r="E249" s="3" t="s">
        <v>91</v>
      </c>
      <c r="F249" s="3" t="s">
        <v>691</v>
      </c>
      <c r="G249" s="3" t="s">
        <v>692</v>
      </c>
      <c r="H249" s="4">
        <v>33199</v>
      </c>
      <c r="I249" s="6" t="s">
        <v>2220</v>
      </c>
      <c r="J249" s="6" t="s">
        <v>2410</v>
      </c>
      <c r="K249" s="6" t="s">
        <v>2795</v>
      </c>
      <c r="L249" s="6" t="s">
        <v>3185</v>
      </c>
      <c r="M249" s="9" t="s">
        <v>3520</v>
      </c>
      <c r="N249" s="5" t="str">
        <f t="shared" ref="N249" si="237">TEXT(H249,"DD-MMM-YYY")</f>
        <v>22-Nov-1990</v>
      </c>
      <c r="O249" s="6" t="s">
        <v>100</v>
      </c>
    </row>
    <row r="250" spans="1:15" x14ac:dyDescent="0.35">
      <c r="A250" s="3" t="s">
        <v>289</v>
      </c>
      <c r="B250" s="3" t="s">
        <v>102</v>
      </c>
      <c r="C250" s="3" t="s">
        <v>103</v>
      </c>
      <c r="D250" s="3" t="s">
        <v>104</v>
      </c>
      <c r="E250" s="3" t="s">
        <v>105</v>
      </c>
      <c r="F250" s="3" t="s">
        <v>693</v>
      </c>
      <c r="G250" s="3" t="s">
        <v>694</v>
      </c>
      <c r="H250" s="4">
        <v>33265</v>
      </c>
      <c r="I250" s="6" t="s">
        <v>2221</v>
      </c>
      <c r="J250" s="6" t="s">
        <v>2411</v>
      </c>
      <c r="K250" s="6" t="s">
        <v>2796</v>
      </c>
      <c r="L250" s="6" t="s">
        <v>3186</v>
      </c>
      <c r="M250" s="9" t="s">
        <v>3521</v>
      </c>
      <c r="N250" s="5" t="str">
        <f t="shared" ref="N250" si="238">TEXT(H250, "DD-MMM-YYY")</f>
        <v>27-Jan-1991</v>
      </c>
      <c r="O250" s="6" t="s">
        <v>3875</v>
      </c>
    </row>
    <row r="251" spans="1:15" x14ac:dyDescent="0.35">
      <c r="A251" s="3" t="s">
        <v>292</v>
      </c>
      <c r="B251" s="3" t="s">
        <v>109</v>
      </c>
      <c r="C251" s="3" t="s">
        <v>110</v>
      </c>
      <c r="D251" s="3" t="s">
        <v>111</v>
      </c>
      <c r="E251" s="3" t="s">
        <v>112</v>
      </c>
      <c r="F251" s="3" t="s">
        <v>695</v>
      </c>
      <c r="G251" s="3" t="s">
        <v>696</v>
      </c>
      <c r="H251" s="4">
        <v>33667</v>
      </c>
      <c r="I251" s="6" t="s">
        <v>2222</v>
      </c>
      <c r="J251" s="6" t="s">
        <v>2412</v>
      </c>
      <c r="K251" s="6" t="s">
        <v>2797</v>
      </c>
      <c r="L251" s="6" t="s">
        <v>3187</v>
      </c>
      <c r="M251" s="9" t="s">
        <v>3522</v>
      </c>
      <c r="N251" s="5" t="str">
        <f t="shared" ref="N251" si="239">TEXT(H251,"DD-MMM-YYY")</f>
        <v>04-Mar-1992</v>
      </c>
      <c r="O251" s="6" t="s">
        <v>3876</v>
      </c>
    </row>
    <row r="252" spans="1:15" x14ac:dyDescent="0.35">
      <c r="A252" s="3" t="s">
        <v>295</v>
      </c>
      <c r="B252" s="3" t="s">
        <v>116</v>
      </c>
      <c r="C252" s="3" t="s">
        <v>117</v>
      </c>
      <c r="D252" s="3" t="s">
        <v>118</v>
      </c>
      <c r="E252" s="3" t="s">
        <v>119</v>
      </c>
      <c r="F252" s="3" t="s">
        <v>697</v>
      </c>
      <c r="G252" s="3" t="s">
        <v>698</v>
      </c>
      <c r="H252" s="4">
        <v>34098</v>
      </c>
      <c r="I252" s="6" t="s">
        <v>2223</v>
      </c>
      <c r="J252" s="6" t="s">
        <v>2413</v>
      </c>
      <c r="K252" s="6" t="s">
        <v>2798</v>
      </c>
      <c r="L252" s="6" t="s">
        <v>3188</v>
      </c>
      <c r="M252" s="9" t="s">
        <v>3523</v>
      </c>
      <c r="N252" s="5" t="str">
        <f t="shared" ref="N252" si="240">TEXT(H252, "DD-MMM-YYY")</f>
        <v>09-May-1993</v>
      </c>
      <c r="O252" s="6" t="s">
        <v>3877</v>
      </c>
    </row>
    <row r="253" spans="1:15" x14ac:dyDescent="0.35">
      <c r="A253" s="3" t="s">
        <v>298</v>
      </c>
      <c r="B253" s="3" t="s">
        <v>123</v>
      </c>
      <c r="C253" s="3" t="s">
        <v>124</v>
      </c>
      <c r="D253" s="3" t="s">
        <v>125</v>
      </c>
      <c r="E253" s="3" t="s">
        <v>126</v>
      </c>
      <c r="F253" s="3" t="s">
        <v>699</v>
      </c>
      <c r="G253" s="3" t="s">
        <v>700</v>
      </c>
      <c r="H253" s="4">
        <v>34529</v>
      </c>
      <c r="I253" s="6" t="s">
        <v>2224</v>
      </c>
      <c r="J253" s="6" t="s">
        <v>2414</v>
      </c>
      <c r="K253" s="6" t="s">
        <v>2799</v>
      </c>
      <c r="L253" s="6" t="s">
        <v>3189</v>
      </c>
      <c r="M253" s="9" t="s">
        <v>3524</v>
      </c>
      <c r="N253" s="5" t="str">
        <f t="shared" ref="N253" si="241">TEXT(H253,"DD-MMM-YYY")</f>
        <v>14-Jul-1994</v>
      </c>
      <c r="O253" s="6" t="s">
        <v>3878</v>
      </c>
    </row>
    <row r="254" spans="1:15" x14ac:dyDescent="0.35">
      <c r="A254" s="3" t="s">
        <v>17</v>
      </c>
      <c r="B254" s="3" t="s">
        <v>130</v>
      </c>
      <c r="C254" s="3" t="s">
        <v>131</v>
      </c>
      <c r="D254" s="3" t="s">
        <v>132</v>
      </c>
      <c r="E254" s="3" t="s">
        <v>126</v>
      </c>
      <c r="F254" s="3" t="s">
        <v>701</v>
      </c>
      <c r="G254" s="3" t="s">
        <v>702</v>
      </c>
      <c r="H254" s="4">
        <v>34961</v>
      </c>
      <c r="I254" s="6" t="s">
        <v>2225</v>
      </c>
      <c r="J254" s="6" t="s">
        <v>2415</v>
      </c>
      <c r="K254" s="6" t="s">
        <v>2800</v>
      </c>
      <c r="L254" s="6" t="s">
        <v>3190</v>
      </c>
      <c r="M254" s="9" t="s">
        <v>3525</v>
      </c>
      <c r="N254" s="5" t="str">
        <f t="shared" ref="N254" si="242">TEXT(H254, "DD-MMM-YYY")</f>
        <v>19-Sept-1995</v>
      </c>
      <c r="O254" s="6" t="s">
        <v>3879</v>
      </c>
    </row>
    <row r="255" spans="1:15" x14ac:dyDescent="0.35">
      <c r="A255" s="3" t="s">
        <v>31</v>
      </c>
      <c r="B255" s="3" t="s">
        <v>136</v>
      </c>
      <c r="C255" s="3" t="s">
        <v>137</v>
      </c>
      <c r="D255" s="3" t="s">
        <v>138</v>
      </c>
      <c r="E255" s="3" t="s">
        <v>139</v>
      </c>
      <c r="F255" s="3" t="s">
        <v>703</v>
      </c>
      <c r="G255" s="3" t="s">
        <v>704</v>
      </c>
      <c r="H255" s="4">
        <v>35393</v>
      </c>
      <c r="I255" s="6" t="s">
        <v>2226</v>
      </c>
      <c r="J255" s="6" t="s">
        <v>1508</v>
      </c>
      <c r="K255" s="6" t="s">
        <v>2801</v>
      </c>
      <c r="L255" s="6" t="s">
        <v>3191</v>
      </c>
      <c r="M255" s="9" t="s">
        <v>3526</v>
      </c>
      <c r="N255" s="5" t="str">
        <f t="shared" ref="N255" si="243">TEXT(H255,"DD-MMM-YYY")</f>
        <v>24-Nov-1996</v>
      </c>
      <c r="O255" s="6" t="s">
        <v>3880</v>
      </c>
    </row>
    <row r="256" spans="1:15" x14ac:dyDescent="0.35">
      <c r="A256" s="3" t="s">
        <v>45</v>
      </c>
      <c r="B256" s="3" t="s">
        <v>143</v>
      </c>
      <c r="C256" s="3" t="s">
        <v>144</v>
      </c>
      <c r="D256" s="3" t="s">
        <v>145</v>
      </c>
      <c r="E256" s="3" t="s">
        <v>146</v>
      </c>
      <c r="F256" s="3" t="s">
        <v>705</v>
      </c>
      <c r="G256" s="3" t="s">
        <v>706</v>
      </c>
      <c r="H256" s="4">
        <v>35431</v>
      </c>
      <c r="I256" s="6" t="s">
        <v>2227</v>
      </c>
      <c r="J256" s="6" t="s">
        <v>2416</v>
      </c>
      <c r="K256" s="6" t="s">
        <v>2802</v>
      </c>
      <c r="L256" s="6" t="s">
        <v>3192</v>
      </c>
      <c r="M256" s="9" t="s">
        <v>3527</v>
      </c>
      <c r="N256" s="5" t="str">
        <f t="shared" ref="N256" si="244">TEXT(H256, "DD-MMM-YYY")</f>
        <v>01-Jan-1997</v>
      </c>
      <c r="O256" s="6" t="s">
        <v>3881</v>
      </c>
    </row>
    <row r="257" spans="1:15" x14ac:dyDescent="0.35">
      <c r="A257" s="3" t="s">
        <v>59</v>
      </c>
      <c r="B257" s="3" t="s">
        <v>150</v>
      </c>
      <c r="C257" s="3" t="s">
        <v>151</v>
      </c>
      <c r="D257" s="3" t="s">
        <v>152</v>
      </c>
      <c r="E257" s="3" t="s">
        <v>153</v>
      </c>
      <c r="F257" s="3" t="s">
        <v>707</v>
      </c>
      <c r="G257" s="3" t="s">
        <v>708</v>
      </c>
      <c r="H257" s="4">
        <v>35860</v>
      </c>
      <c r="I257" s="6" t="s">
        <v>2228</v>
      </c>
      <c r="J257" s="6" t="s">
        <v>2417</v>
      </c>
      <c r="K257" s="6" t="s">
        <v>2803</v>
      </c>
      <c r="L257" s="6" t="s">
        <v>3156</v>
      </c>
      <c r="M257" s="9" t="s">
        <v>3528</v>
      </c>
      <c r="N257" s="5" t="str">
        <f t="shared" ref="N257" si="245">TEXT(H257,"DD-MMM-YYY")</f>
        <v>06-Mar-1998</v>
      </c>
      <c r="O257" s="6" t="s">
        <v>3882</v>
      </c>
    </row>
    <row r="258" spans="1:15" x14ac:dyDescent="0.35">
      <c r="A258" s="3" t="s">
        <v>73</v>
      </c>
      <c r="B258" s="3" t="s">
        <v>157</v>
      </c>
      <c r="C258" s="3" t="s">
        <v>158</v>
      </c>
      <c r="D258" s="3" t="s">
        <v>159</v>
      </c>
      <c r="E258" s="3" t="s">
        <v>77</v>
      </c>
      <c r="F258" s="3" t="s">
        <v>709</v>
      </c>
      <c r="G258" s="3" t="s">
        <v>710</v>
      </c>
      <c r="H258" s="4">
        <v>36291</v>
      </c>
      <c r="I258" s="6" t="s">
        <v>2229</v>
      </c>
      <c r="J258" s="6" t="s">
        <v>2418</v>
      </c>
      <c r="K258" s="6" t="s">
        <v>2804</v>
      </c>
      <c r="L258" s="6" t="s">
        <v>3193</v>
      </c>
      <c r="M258" s="9" t="s">
        <v>3529</v>
      </c>
      <c r="N258" s="5" t="str">
        <f t="shared" ref="N258" si="246">TEXT(H258, "DD-MMM-YYY")</f>
        <v>11-May-1999</v>
      </c>
      <c r="O258" s="6" t="s">
        <v>3883</v>
      </c>
    </row>
    <row r="259" spans="1:15" x14ac:dyDescent="0.35">
      <c r="A259" s="3" t="s">
        <v>87</v>
      </c>
      <c r="B259" s="3" t="s">
        <v>163</v>
      </c>
      <c r="C259" s="3" t="s">
        <v>164</v>
      </c>
      <c r="D259" s="3" t="s">
        <v>165</v>
      </c>
      <c r="E259" s="3" t="s">
        <v>166</v>
      </c>
      <c r="F259" s="3" t="s">
        <v>711</v>
      </c>
      <c r="G259" s="3" t="s">
        <v>712</v>
      </c>
      <c r="H259" s="4">
        <v>31244</v>
      </c>
      <c r="I259" s="6" t="s">
        <v>2230</v>
      </c>
      <c r="J259" s="6" t="s">
        <v>2419</v>
      </c>
      <c r="K259" s="6" t="s">
        <v>2805</v>
      </c>
      <c r="L259" s="6" t="s">
        <v>3194</v>
      </c>
      <c r="M259" s="9" t="s">
        <v>3530</v>
      </c>
      <c r="N259" s="5" t="str">
        <f t="shared" ref="N259" si="247">TEXT(H259,"DD-MMM-YYY")</f>
        <v>16-Jul-1985</v>
      </c>
      <c r="O259" s="6" t="s">
        <v>3884</v>
      </c>
    </row>
    <row r="260" spans="1:15" x14ac:dyDescent="0.35">
      <c r="A260" s="3" t="s">
        <v>101</v>
      </c>
      <c r="B260" s="3" t="s">
        <v>170</v>
      </c>
      <c r="C260" s="3" t="s">
        <v>19</v>
      </c>
      <c r="D260" s="3" t="s">
        <v>171</v>
      </c>
      <c r="E260" s="3" t="s">
        <v>172</v>
      </c>
      <c r="F260" s="3" t="s">
        <v>713</v>
      </c>
      <c r="G260" s="3" t="s">
        <v>714</v>
      </c>
      <c r="H260" s="4">
        <v>31676</v>
      </c>
      <c r="I260" s="6" t="s">
        <v>2231</v>
      </c>
      <c r="J260" s="6" t="s">
        <v>2420</v>
      </c>
      <c r="K260" s="6" t="s">
        <v>2806</v>
      </c>
      <c r="L260" s="6" t="s">
        <v>3195</v>
      </c>
      <c r="M260" s="9" t="s">
        <v>3531</v>
      </c>
      <c r="N260" s="5" t="str">
        <f t="shared" ref="N260" si="248">TEXT(H260, "DD-MMM-YYY")</f>
        <v>21-Sept-1986</v>
      </c>
      <c r="O260" s="6" t="s">
        <v>30</v>
      </c>
    </row>
    <row r="261" spans="1:15" x14ac:dyDescent="0.35">
      <c r="A261" s="3" t="s">
        <v>108</v>
      </c>
      <c r="B261" s="3" t="s">
        <v>176</v>
      </c>
      <c r="C261" s="3" t="s">
        <v>33</v>
      </c>
      <c r="D261" s="3" t="s">
        <v>162</v>
      </c>
      <c r="E261" s="3" t="s">
        <v>63</v>
      </c>
      <c r="F261" s="3" t="s">
        <v>715</v>
      </c>
      <c r="G261" s="3" t="s">
        <v>716</v>
      </c>
      <c r="H261" s="4">
        <v>32107</v>
      </c>
      <c r="I261" s="6" t="s">
        <v>2232</v>
      </c>
      <c r="J261" s="6" t="s">
        <v>2421</v>
      </c>
      <c r="K261" s="6" t="s">
        <v>2807</v>
      </c>
      <c r="L261" s="6" t="s">
        <v>153</v>
      </c>
      <c r="M261" s="9" t="s">
        <v>3532</v>
      </c>
      <c r="N261" s="5" t="str">
        <f t="shared" ref="N261" si="249">TEXT(H261,"DD-MMM-YYY")</f>
        <v>26-Nov-1987</v>
      </c>
      <c r="O261" s="6" t="s">
        <v>44</v>
      </c>
    </row>
    <row r="262" spans="1:15" x14ac:dyDescent="0.35">
      <c r="A262" s="3" t="s">
        <v>115</v>
      </c>
      <c r="B262" s="3" t="s">
        <v>180</v>
      </c>
      <c r="C262" s="3" t="s">
        <v>47</v>
      </c>
      <c r="D262" s="3" t="s">
        <v>181</v>
      </c>
      <c r="E262" s="3" t="s">
        <v>182</v>
      </c>
      <c r="F262" s="3" t="s">
        <v>717</v>
      </c>
      <c r="G262" s="3" t="s">
        <v>718</v>
      </c>
      <c r="H262" s="4">
        <v>32145</v>
      </c>
      <c r="I262" s="6" t="s">
        <v>2233</v>
      </c>
      <c r="J262" s="6" t="s">
        <v>2422</v>
      </c>
      <c r="K262" s="6" t="s">
        <v>2808</v>
      </c>
      <c r="L262" s="6" t="s">
        <v>3196</v>
      </c>
      <c r="M262" s="9" t="s">
        <v>3533</v>
      </c>
      <c r="N262" s="5" t="str">
        <f t="shared" ref="N262" si="250">TEXT(H262, "DD-MMM-YYY")</f>
        <v>03-Jan-1988</v>
      </c>
      <c r="O262" s="6" t="s">
        <v>58</v>
      </c>
    </row>
    <row r="263" spans="1:15" x14ac:dyDescent="0.35">
      <c r="A263" s="3" t="s">
        <v>122</v>
      </c>
      <c r="B263" s="3" t="s">
        <v>186</v>
      </c>
      <c r="C263" s="3" t="s">
        <v>61</v>
      </c>
      <c r="D263" s="3" t="s">
        <v>187</v>
      </c>
      <c r="E263" s="3" t="s">
        <v>188</v>
      </c>
      <c r="F263" s="3" t="s">
        <v>719</v>
      </c>
      <c r="G263" s="3" t="s">
        <v>720</v>
      </c>
      <c r="H263" s="4">
        <v>32575</v>
      </c>
      <c r="I263" s="6" t="s">
        <v>2234</v>
      </c>
      <c r="J263" s="6" t="s">
        <v>2423</v>
      </c>
      <c r="K263" s="6" t="s">
        <v>2809</v>
      </c>
      <c r="L263" s="6" t="s">
        <v>3197</v>
      </c>
      <c r="M263" s="9" t="s">
        <v>3534</v>
      </c>
      <c r="N263" s="5" t="str">
        <f t="shared" ref="N263" si="251">TEXT(H263,"DD-MMM-YYY")</f>
        <v>08-Mar-1989</v>
      </c>
      <c r="O263" s="6" t="s">
        <v>72</v>
      </c>
    </row>
    <row r="264" spans="1:15" x14ac:dyDescent="0.35">
      <c r="A264" s="3" t="s">
        <v>129</v>
      </c>
      <c r="B264" s="3" t="s">
        <v>192</v>
      </c>
      <c r="C264" s="3" t="s">
        <v>75</v>
      </c>
      <c r="D264" s="3" t="s">
        <v>20</v>
      </c>
      <c r="E264" s="3" t="s">
        <v>21</v>
      </c>
      <c r="F264" s="3" t="s">
        <v>721</v>
      </c>
      <c r="G264" s="3" t="s">
        <v>722</v>
      </c>
      <c r="H264" s="4">
        <v>33006</v>
      </c>
      <c r="I264" s="6" t="s">
        <v>2235</v>
      </c>
      <c r="J264" s="6" t="s">
        <v>2424</v>
      </c>
      <c r="K264" s="6" t="s">
        <v>2810</v>
      </c>
      <c r="L264" s="6" t="s">
        <v>3164</v>
      </c>
      <c r="M264" s="9" t="s">
        <v>3535</v>
      </c>
      <c r="N264" s="5" t="str">
        <f t="shared" ref="N264" si="252">TEXT(H264, "DD-MMM-YYY")</f>
        <v>13-May-1990</v>
      </c>
      <c r="O264" s="6" t="s">
        <v>86</v>
      </c>
    </row>
    <row r="265" spans="1:15" x14ac:dyDescent="0.35">
      <c r="A265" s="3" t="s">
        <v>135</v>
      </c>
      <c r="B265" s="3" t="s">
        <v>196</v>
      </c>
      <c r="C265" s="3" t="s">
        <v>89</v>
      </c>
      <c r="D265" s="3" t="s">
        <v>34</v>
      </c>
      <c r="E265" s="3" t="s">
        <v>35</v>
      </c>
      <c r="F265" s="3" t="s">
        <v>723</v>
      </c>
      <c r="G265" s="3" t="s">
        <v>724</v>
      </c>
      <c r="H265" s="4">
        <v>33437</v>
      </c>
      <c r="I265" s="6" t="s">
        <v>2236</v>
      </c>
      <c r="J265" s="6" t="s">
        <v>1663</v>
      </c>
      <c r="K265" s="6" t="s">
        <v>2811</v>
      </c>
      <c r="L265" s="6" t="s">
        <v>3198</v>
      </c>
      <c r="M265" s="9" t="s">
        <v>3536</v>
      </c>
      <c r="N265" s="5" t="str">
        <f t="shared" ref="N265" si="253">TEXT(H265,"DD-MMM-YYY")</f>
        <v>18-Jul-1991</v>
      </c>
      <c r="O265" s="6" t="s">
        <v>100</v>
      </c>
    </row>
    <row r="266" spans="1:15" x14ac:dyDescent="0.35">
      <c r="A266" s="3" t="s">
        <v>142</v>
      </c>
      <c r="B266" s="3" t="s">
        <v>200</v>
      </c>
      <c r="C266" s="3" t="s">
        <v>103</v>
      </c>
      <c r="D266" s="3" t="s">
        <v>48</v>
      </c>
      <c r="E266" s="3" t="s">
        <v>49</v>
      </c>
      <c r="F266" s="3" t="s">
        <v>725</v>
      </c>
      <c r="G266" s="3" t="s">
        <v>726</v>
      </c>
      <c r="H266" s="4">
        <v>33870</v>
      </c>
      <c r="I266" s="6" t="s">
        <v>2237</v>
      </c>
      <c r="J266" s="6" t="s">
        <v>2425</v>
      </c>
      <c r="K266" s="6" t="s">
        <v>2812</v>
      </c>
      <c r="L266" s="6" t="s">
        <v>3199</v>
      </c>
      <c r="M266" s="9" t="s">
        <v>3537</v>
      </c>
      <c r="N266" s="5" t="str">
        <f t="shared" ref="N266" si="254">TEXT(H266, "DD-MMM-YYY")</f>
        <v>23-Sept-1992</v>
      </c>
      <c r="O266" s="6" t="s">
        <v>3875</v>
      </c>
    </row>
    <row r="267" spans="1:15" x14ac:dyDescent="0.35">
      <c r="A267" s="3" t="s">
        <v>149</v>
      </c>
      <c r="B267" s="3" t="s">
        <v>204</v>
      </c>
      <c r="C267" s="3" t="s">
        <v>110</v>
      </c>
      <c r="D267" s="3" t="s">
        <v>62</v>
      </c>
      <c r="E267" s="3" t="s">
        <v>63</v>
      </c>
      <c r="F267" s="3" t="s">
        <v>727</v>
      </c>
      <c r="G267" s="3" t="s">
        <v>728</v>
      </c>
      <c r="H267" s="4">
        <v>34301</v>
      </c>
      <c r="I267" s="6" t="s">
        <v>2238</v>
      </c>
      <c r="J267" s="6" t="s">
        <v>2426</v>
      </c>
      <c r="K267" s="6" t="s">
        <v>2813</v>
      </c>
      <c r="L267" s="6" t="s">
        <v>3200</v>
      </c>
      <c r="M267" s="9" t="s">
        <v>3538</v>
      </c>
      <c r="N267" s="5" t="str">
        <f t="shared" ref="N267" si="255">TEXT(H267,"DD-MMM-YYY")</f>
        <v>28-Nov-1993</v>
      </c>
      <c r="O267" s="6" t="s">
        <v>3876</v>
      </c>
    </row>
    <row r="268" spans="1:15" x14ac:dyDescent="0.35">
      <c r="A268" s="3" t="s">
        <v>156</v>
      </c>
      <c r="B268" s="3" t="s">
        <v>208</v>
      </c>
      <c r="C268" s="3" t="s">
        <v>117</v>
      </c>
      <c r="D268" s="3" t="s">
        <v>76</v>
      </c>
      <c r="E268" s="3" t="s">
        <v>77</v>
      </c>
      <c r="F268" s="3" t="s">
        <v>729</v>
      </c>
      <c r="G268" s="3" t="s">
        <v>730</v>
      </c>
      <c r="H268" s="4">
        <v>34339</v>
      </c>
      <c r="I268" s="6" t="s">
        <v>2239</v>
      </c>
      <c r="J268" s="6" t="s">
        <v>2427</v>
      </c>
      <c r="K268" s="6" t="s">
        <v>2814</v>
      </c>
      <c r="L268" s="6" t="s">
        <v>3201</v>
      </c>
      <c r="M268" s="9" t="s">
        <v>3539</v>
      </c>
      <c r="N268" s="5" t="str">
        <f t="shared" ref="N268" si="256">TEXT(H268, "DD-MMM-YYY")</f>
        <v>05-Jan-1994</v>
      </c>
      <c r="O268" s="6" t="s">
        <v>3877</v>
      </c>
    </row>
    <row r="269" spans="1:15" x14ac:dyDescent="0.35">
      <c r="A269" s="3" t="s">
        <v>162</v>
      </c>
      <c r="B269" s="3" t="s">
        <v>212</v>
      </c>
      <c r="C269" s="3" t="s">
        <v>124</v>
      </c>
      <c r="D269" s="3" t="s">
        <v>90</v>
      </c>
      <c r="E269" s="3" t="s">
        <v>91</v>
      </c>
      <c r="F269" s="3" t="s">
        <v>731</v>
      </c>
      <c r="G269" s="3" t="s">
        <v>732</v>
      </c>
      <c r="H269" s="4">
        <v>34768</v>
      </c>
      <c r="I269" s="6" t="s">
        <v>2240</v>
      </c>
      <c r="J269" s="6" t="s">
        <v>2428</v>
      </c>
      <c r="K269" s="6" t="s">
        <v>2815</v>
      </c>
      <c r="L269" s="6" t="s">
        <v>3202</v>
      </c>
      <c r="M269" s="9" t="s">
        <v>3540</v>
      </c>
      <c r="N269" s="5" t="str">
        <f t="shared" ref="N269" si="257">TEXT(H269,"DD-MMM-YYY")</f>
        <v>10-Mar-1995</v>
      </c>
      <c r="O269" s="6" t="s">
        <v>3878</v>
      </c>
    </row>
    <row r="270" spans="1:15" x14ac:dyDescent="0.35">
      <c r="A270" s="3" t="s">
        <v>169</v>
      </c>
      <c r="B270" s="3" t="s">
        <v>216</v>
      </c>
      <c r="C270" s="3" t="s">
        <v>131</v>
      </c>
      <c r="D270" s="3" t="s">
        <v>104</v>
      </c>
      <c r="E270" s="3" t="s">
        <v>105</v>
      </c>
      <c r="F270" s="3" t="s">
        <v>733</v>
      </c>
      <c r="G270" s="3" t="s">
        <v>734</v>
      </c>
      <c r="H270" s="4">
        <v>35200</v>
      </c>
      <c r="I270" s="6" t="s">
        <v>2241</v>
      </c>
      <c r="J270" s="6" t="s">
        <v>2429</v>
      </c>
      <c r="K270" s="6" t="s">
        <v>2816</v>
      </c>
      <c r="L270" s="6" t="s">
        <v>3203</v>
      </c>
      <c r="M270" s="9" t="s">
        <v>3541</v>
      </c>
      <c r="N270" s="5" t="str">
        <f t="shared" ref="N270" si="258">TEXT(H270, "DD-MMM-YYY")</f>
        <v>15-May-1996</v>
      </c>
      <c r="O270" s="6" t="s">
        <v>3879</v>
      </c>
    </row>
    <row r="271" spans="1:15" x14ac:dyDescent="0.35">
      <c r="A271" s="3" t="s">
        <v>175</v>
      </c>
      <c r="B271" s="3" t="s">
        <v>220</v>
      </c>
      <c r="C271" s="3" t="s">
        <v>137</v>
      </c>
      <c r="D271" s="3" t="s">
        <v>111</v>
      </c>
      <c r="E271" s="3" t="s">
        <v>112</v>
      </c>
      <c r="F271" s="3" t="s">
        <v>735</v>
      </c>
      <c r="G271" s="3" t="s">
        <v>736</v>
      </c>
      <c r="H271" s="4">
        <v>35631</v>
      </c>
      <c r="I271" s="6" t="s">
        <v>2242</v>
      </c>
      <c r="J271" s="6" t="s">
        <v>2430</v>
      </c>
      <c r="K271" s="6" t="s">
        <v>2817</v>
      </c>
      <c r="L271" s="6" t="s">
        <v>3204</v>
      </c>
      <c r="M271" s="9" t="s">
        <v>3542</v>
      </c>
      <c r="N271" s="5" t="str">
        <f t="shared" ref="N271" si="259">TEXT(H271,"DD-MMM-YYY")</f>
        <v>20-Jul-1997</v>
      </c>
      <c r="O271" s="6" t="s">
        <v>3880</v>
      </c>
    </row>
    <row r="272" spans="1:15" x14ac:dyDescent="0.35">
      <c r="A272" s="3" t="s">
        <v>179</v>
      </c>
      <c r="B272" s="3" t="s">
        <v>224</v>
      </c>
      <c r="C272" s="3" t="s">
        <v>144</v>
      </c>
      <c r="D272" s="3" t="s">
        <v>118</v>
      </c>
      <c r="E272" s="3" t="s">
        <v>119</v>
      </c>
      <c r="F272" s="3" t="s">
        <v>737</v>
      </c>
      <c r="G272" s="3" t="s">
        <v>738</v>
      </c>
      <c r="H272" s="4">
        <v>36063</v>
      </c>
      <c r="I272" s="6" t="s">
        <v>2243</v>
      </c>
      <c r="J272" s="6" t="s">
        <v>2431</v>
      </c>
      <c r="K272" s="6" t="s">
        <v>2818</v>
      </c>
      <c r="L272" s="6" t="s">
        <v>3205</v>
      </c>
      <c r="M272" s="9" t="s">
        <v>3543</v>
      </c>
      <c r="N272" s="5" t="str">
        <f t="shared" ref="N272" si="260">TEXT(H272, "DD-MMM-YYY")</f>
        <v>25-Sept-1998</v>
      </c>
      <c r="O272" s="6" t="s">
        <v>3881</v>
      </c>
    </row>
    <row r="273" spans="1:15" x14ac:dyDescent="0.35">
      <c r="A273" s="3" t="s">
        <v>185</v>
      </c>
      <c r="B273" s="3" t="s">
        <v>228</v>
      </c>
      <c r="C273" s="3" t="s">
        <v>151</v>
      </c>
      <c r="D273" s="3" t="s">
        <v>125</v>
      </c>
      <c r="E273" s="3" t="s">
        <v>126</v>
      </c>
      <c r="F273" s="3" t="s">
        <v>739</v>
      </c>
      <c r="G273" s="3" t="s">
        <v>740</v>
      </c>
      <c r="H273" s="4">
        <v>36466</v>
      </c>
      <c r="I273" s="6" t="s">
        <v>2244</v>
      </c>
      <c r="J273" s="6" t="s">
        <v>2432</v>
      </c>
      <c r="K273" s="6" t="s">
        <v>2819</v>
      </c>
      <c r="L273" s="6" t="s">
        <v>3206</v>
      </c>
      <c r="M273" s="9" t="s">
        <v>3544</v>
      </c>
      <c r="N273" s="5" t="str">
        <f t="shared" ref="N273" si="261">TEXT(H273,"DD-MMM-YYY")</f>
        <v>02-Nov-1999</v>
      </c>
      <c r="O273" s="6" t="s">
        <v>3882</v>
      </c>
    </row>
    <row r="274" spans="1:15" x14ac:dyDescent="0.35">
      <c r="A274" s="3" t="s">
        <v>191</v>
      </c>
      <c r="B274" s="3" t="s">
        <v>232</v>
      </c>
      <c r="C274" s="3" t="s">
        <v>158</v>
      </c>
      <c r="D274" s="3" t="s">
        <v>132</v>
      </c>
      <c r="E274" s="3" t="s">
        <v>126</v>
      </c>
      <c r="F274" s="3" t="s">
        <v>741</v>
      </c>
      <c r="G274" s="3" t="s">
        <v>742</v>
      </c>
      <c r="H274" s="4">
        <v>31054</v>
      </c>
      <c r="I274" s="6" t="s">
        <v>2245</v>
      </c>
      <c r="J274" s="6" t="s">
        <v>2433</v>
      </c>
      <c r="K274" s="6" t="s">
        <v>2820</v>
      </c>
      <c r="L274" s="6" t="s">
        <v>3170</v>
      </c>
      <c r="M274" s="9" t="s">
        <v>3545</v>
      </c>
      <c r="N274" s="5" t="str">
        <f t="shared" ref="N274" si="262">TEXT(H274, "DD-MMM-YYY")</f>
        <v>07-Jan-1985</v>
      </c>
      <c r="O274" s="6" t="s">
        <v>3883</v>
      </c>
    </row>
    <row r="275" spans="1:15" x14ac:dyDescent="0.35">
      <c r="A275" s="3" t="s">
        <v>195</v>
      </c>
      <c r="B275" s="3" t="s">
        <v>236</v>
      </c>
      <c r="C275" s="3" t="s">
        <v>164</v>
      </c>
      <c r="D275" s="3" t="s">
        <v>138</v>
      </c>
      <c r="E275" s="3" t="s">
        <v>139</v>
      </c>
      <c r="F275" s="3" t="s">
        <v>743</v>
      </c>
      <c r="G275" s="3" t="s">
        <v>744</v>
      </c>
      <c r="H275" s="4">
        <v>31483</v>
      </c>
      <c r="I275" s="6" t="s">
        <v>2246</v>
      </c>
      <c r="J275" s="6" t="s">
        <v>1593</v>
      </c>
      <c r="K275" s="6" t="s">
        <v>2821</v>
      </c>
      <c r="L275" s="6" t="s">
        <v>3171</v>
      </c>
      <c r="M275" s="9" t="s">
        <v>3546</v>
      </c>
      <c r="N275" s="5" t="str">
        <f t="shared" ref="N275" si="263">TEXT(H275,"DD-MMM-YYY")</f>
        <v>12-Mar-1986</v>
      </c>
      <c r="O275" s="6" t="s">
        <v>3884</v>
      </c>
    </row>
    <row r="276" spans="1:15" x14ac:dyDescent="0.35">
      <c r="A276" s="3" t="s">
        <v>199</v>
      </c>
      <c r="B276" s="3" t="s">
        <v>240</v>
      </c>
      <c r="C276" s="3" t="s">
        <v>19</v>
      </c>
      <c r="D276" s="3" t="s">
        <v>145</v>
      </c>
      <c r="E276" s="3" t="s">
        <v>146</v>
      </c>
      <c r="F276" s="3" t="s">
        <v>745</v>
      </c>
      <c r="G276" s="3" t="s">
        <v>746</v>
      </c>
      <c r="H276" s="4">
        <v>31914</v>
      </c>
      <c r="I276" s="6" t="s">
        <v>2247</v>
      </c>
      <c r="J276" s="6" t="s">
        <v>2434</v>
      </c>
      <c r="K276" s="6" t="s">
        <v>2822</v>
      </c>
      <c r="L276" s="6" t="s">
        <v>3207</v>
      </c>
      <c r="M276" s="9" t="s">
        <v>3547</v>
      </c>
      <c r="N276" s="5" t="str">
        <f t="shared" ref="N276" si="264">TEXT(H276, "DD-MMM-YYY")</f>
        <v>17-May-1987</v>
      </c>
      <c r="O276" s="6" t="s">
        <v>30</v>
      </c>
    </row>
    <row r="277" spans="1:15" x14ac:dyDescent="0.35">
      <c r="A277" s="3" t="s">
        <v>203</v>
      </c>
      <c r="B277" s="3" t="s">
        <v>244</v>
      </c>
      <c r="C277" s="3" t="s">
        <v>33</v>
      </c>
      <c r="D277" s="3" t="s">
        <v>152</v>
      </c>
      <c r="E277" s="3" t="s">
        <v>153</v>
      </c>
      <c r="F277" s="3" t="s">
        <v>747</v>
      </c>
      <c r="G277" s="3" t="s">
        <v>748</v>
      </c>
      <c r="H277" s="4">
        <v>32346</v>
      </c>
      <c r="I277" s="6" t="s">
        <v>2248</v>
      </c>
      <c r="J277" s="6" t="s">
        <v>2435</v>
      </c>
      <c r="K277" s="6" t="s">
        <v>2823</v>
      </c>
      <c r="L277" s="6" t="s">
        <v>166</v>
      </c>
      <c r="M277" s="9" t="s">
        <v>3548</v>
      </c>
      <c r="N277" s="5" t="str">
        <f t="shared" ref="N277" si="265">TEXT(H277,"DD-MMM-YYY")</f>
        <v>22-Jul-1988</v>
      </c>
      <c r="O277" s="6" t="s">
        <v>44</v>
      </c>
    </row>
    <row r="278" spans="1:15" x14ac:dyDescent="0.35">
      <c r="A278" s="3" t="s">
        <v>207</v>
      </c>
      <c r="B278" s="3" t="s">
        <v>248</v>
      </c>
      <c r="C278" s="3" t="s">
        <v>47</v>
      </c>
      <c r="D278" s="3" t="s">
        <v>159</v>
      </c>
      <c r="E278" s="3" t="s">
        <v>77</v>
      </c>
      <c r="F278" s="3" t="s">
        <v>749</v>
      </c>
      <c r="G278" s="3" t="s">
        <v>750</v>
      </c>
      <c r="H278" s="4">
        <v>32778</v>
      </c>
      <c r="I278" s="6" t="s">
        <v>2249</v>
      </c>
      <c r="J278" s="6" t="s">
        <v>2436</v>
      </c>
      <c r="K278" s="6" t="s">
        <v>2824</v>
      </c>
      <c r="L278" s="6" t="s">
        <v>3208</v>
      </c>
      <c r="M278" s="9" t="s">
        <v>3549</v>
      </c>
      <c r="N278" s="5" t="str">
        <f t="shared" ref="N278" si="266">TEXT(H278, "DD-MMM-YYY")</f>
        <v>27-Sept-1989</v>
      </c>
      <c r="O278" s="6" t="s">
        <v>58</v>
      </c>
    </row>
    <row r="279" spans="1:15" x14ac:dyDescent="0.35">
      <c r="A279" s="3" t="s">
        <v>211</v>
      </c>
      <c r="B279" s="3" t="s">
        <v>252</v>
      </c>
      <c r="C279" s="3" t="s">
        <v>61</v>
      </c>
      <c r="D279" s="3" t="s">
        <v>165</v>
      </c>
      <c r="E279" s="3" t="s">
        <v>166</v>
      </c>
      <c r="F279" s="3" t="s">
        <v>751</v>
      </c>
      <c r="G279" s="3" t="s">
        <v>752</v>
      </c>
      <c r="H279" s="4">
        <v>33181</v>
      </c>
      <c r="I279" s="6" t="s">
        <v>2250</v>
      </c>
      <c r="J279" s="6" t="s">
        <v>2437</v>
      </c>
      <c r="K279" s="6" t="s">
        <v>2825</v>
      </c>
      <c r="L279" s="6" t="s">
        <v>3171</v>
      </c>
      <c r="M279" s="9" t="s">
        <v>3550</v>
      </c>
      <c r="N279" s="5" t="str">
        <f t="shared" ref="N279" si="267">TEXT(H279,"DD-MMM-YYY")</f>
        <v>04-Nov-1990</v>
      </c>
      <c r="O279" s="6" t="s">
        <v>72</v>
      </c>
    </row>
    <row r="280" spans="1:15" x14ac:dyDescent="0.35">
      <c r="A280" s="3" t="s">
        <v>215</v>
      </c>
      <c r="B280" s="3" t="s">
        <v>256</v>
      </c>
      <c r="C280" s="3" t="s">
        <v>75</v>
      </c>
      <c r="D280" s="3" t="s">
        <v>171</v>
      </c>
      <c r="E280" s="3" t="s">
        <v>172</v>
      </c>
      <c r="F280" s="3" t="s">
        <v>753</v>
      </c>
      <c r="G280" s="3" t="s">
        <v>754</v>
      </c>
      <c r="H280" s="4">
        <v>33247</v>
      </c>
      <c r="I280" s="6" t="s">
        <v>2251</v>
      </c>
      <c r="J280" s="6" t="s">
        <v>2438</v>
      </c>
      <c r="K280" s="6" t="s">
        <v>2826</v>
      </c>
      <c r="L280" s="6" t="s">
        <v>3176</v>
      </c>
      <c r="M280" s="9" t="s">
        <v>3551</v>
      </c>
      <c r="N280" s="5" t="str">
        <f t="shared" ref="N280" si="268">TEXT(H280, "DD-MMM-YYY")</f>
        <v>09-Jan-1991</v>
      </c>
      <c r="O280" s="6" t="s">
        <v>86</v>
      </c>
    </row>
    <row r="281" spans="1:15" x14ac:dyDescent="0.35">
      <c r="A281" s="3" t="s">
        <v>219</v>
      </c>
      <c r="B281" s="3" t="s">
        <v>260</v>
      </c>
      <c r="C281" s="3" t="s">
        <v>89</v>
      </c>
      <c r="D281" s="3" t="s">
        <v>162</v>
      </c>
      <c r="E281" s="3" t="s">
        <v>63</v>
      </c>
      <c r="F281" s="3" t="s">
        <v>755</v>
      </c>
      <c r="G281" s="3" t="s">
        <v>756</v>
      </c>
      <c r="H281" s="4">
        <v>33677</v>
      </c>
      <c r="I281" s="6" t="s">
        <v>2252</v>
      </c>
      <c r="J281" s="6" t="s">
        <v>2439</v>
      </c>
      <c r="K281" s="6" t="s">
        <v>2827</v>
      </c>
      <c r="L281" s="6" t="s">
        <v>3209</v>
      </c>
      <c r="M281" s="9" t="s">
        <v>3552</v>
      </c>
      <c r="N281" s="5" t="str">
        <f t="shared" ref="N281" si="269">TEXT(H281,"DD-MMM-YYY")</f>
        <v>14-Mar-1992</v>
      </c>
      <c r="O281" s="6" t="s">
        <v>100</v>
      </c>
    </row>
    <row r="282" spans="1:15" x14ac:dyDescent="0.35">
      <c r="A282" s="3" t="s">
        <v>223</v>
      </c>
      <c r="B282" s="3" t="s">
        <v>264</v>
      </c>
      <c r="C282" s="3" t="s">
        <v>103</v>
      </c>
      <c r="D282" s="3" t="s">
        <v>181</v>
      </c>
      <c r="E282" s="3" t="s">
        <v>182</v>
      </c>
      <c r="F282" s="3" t="s">
        <v>757</v>
      </c>
      <c r="G282" s="3" t="s">
        <v>758</v>
      </c>
      <c r="H282" s="4">
        <v>34108</v>
      </c>
      <c r="I282" s="6" t="s">
        <v>2253</v>
      </c>
      <c r="J282" s="6" t="s">
        <v>2440</v>
      </c>
      <c r="K282" s="6" t="s">
        <v>2828</v>
      </c>
      <c r="L282" s="6" t="s">
        <v>3210</v>
      </c>
      <c r="M282" s="9" t="s">
        <v>3553</v>
      </c>
      <c r="N282" s="5" t="str">
        <f t="shared" ref="N282" si="270">TEXT(H282, "DD-MMM-YYY")</f>
        <v>19-May-1993</v>
      </c>
      <c r="O282" s="6" t="s">
        <v>3875</v>
      </c>
    </row>
    <row r="283" spans="1:15" x14ac:dyDescent="0.35">
      <c r="A283" s="3" t="s">
        <v>227</v>
      </c>
      <c r="B283" s="3" t="s">
        <v>268</v>
      </c>
      <c r="C283" s="3" t="s">
        <v>110</v>
      </c>
      <c r="D283" s="3" t="s">
        <v>187</v>
      </c>
      <c r="E283" s="3" t="s">
        <v>188</v>
      </c>
      <c r="F283" s="3" t="s">
        <v>759</v>
      </c>
      <c r="G283" s="3" t="s">
        <v>760</v>
      </c>
      <c r="H283" s="4">
        <v>34539</v>
      </c>
      <c r="I283" s="6" t="s">
        <v>2254</v>
      </c>
      <c r="J283" s="6" t="s">
        <v>2441</v>
      </c>
      <c r="K283" s="6" t="s">
        <v>2829</v>
      </c>
      <c r="L283" s="6" t="s">
        <v>3211</v>
      </c>
      <c r="M283" s="9" t="s">
        <v>3554</v>
      </c>
      <c r="N283" s="5" t="str">
        <f t="shared" ref="N283" si="271">TEXT(H283,"DD-MMM-YYY")</f>
        <v>24-Jul-1994</v>
      </c>
      <c r="O283" s="6" t="s">
        <v>3876</v>
      </c>
    </row>
    <row r="284" spans="1:15" x14ac:dyDescent="0.35">
      <c r="A284" s="3" t="s">
        <v>231</v>
      </c>
      <c r="B284" s="3" t="s">
        <v>18</v>
      </c>
      <c r="C284" s="3" t="s">
        <v>117</v>
      </c>
      <c r="D284" s="3" t="s">
        <v>20</v>
      </c>
      <c r="E284" s="3" t="s">
        <v>21</v>
      </c>
      <c r="F284" s="3" t="s">
        <v>761</v>
      </c>
      <c r="G284" s="3" t="s">
        <v>762</v>
      </c>
      <c r="H284" s="4">
        <v>34943</v>
      </c>
      <c r="I284" s="6" t="s">
        <v>2255</v>
      </c>
      <c r="J284" s="6" t="s">
        <v>2442</v>
      </c>
      <c r="K284" s="6" t="s">
        <v>2830</v>
      </c>
      <c r="L284" s="6" t="s">
        <v>27</v>
      </c>
      <c r="M284" s="9" t="s">
        <v>3555</v>
      </c>
      <c r="N284" s="5" t="str">
        <f t="shared" ref="N284" si="272">TEXT(H284, "DD-MMM-YYY")</f>
        <v>01-Sept-1995</v>
      </c>
      <c r="O284" s="6" t="s">
        <v>3877</v>
      </c>
    </row>
    <row r="285" spans="1:15" x14ac:dyDescent="0.35">
      <c r="A285" s="3" t="s">
        <v>235</v>
      </c>
      <c r="B285" s="3" t="s">
        <v>32</v>
      </c>
      <c r="C285" s="3" t="s">
        <v>124</v>
      </c>
      <c r="D285" s="3" t="s">
        <v>34</v>
      </c>
      <c r="E285" s="3" t="s">
        <v>35</v>
      </c>
      <c r="F285" s="3" t="s">
        <v>763</v>
      </c>
      <c r="G285" s="3" t="s">
        <v>764</v>
      </c>
      <c r="H285" s="4">
        <v>35375</v>
      </c>
      <c r="I285" s="6" t="s">
        <v>2256</v>
      </c>
      <c r="J285" s="6" t="s">
        <v>1488</v>
      </c>
      <c r="K285" s="6" t="s">
        <v>2831</v>
      </c>
      <c r="L285" s="6" t="s">
        <v>3212</v>
      </c>
      <c r="M285" s="9" t="s">
        <v>3556</v>
      </c>
      <c r="N285" s="5" t="str">
        <f t="shared" ref="N285" si="273">TEXT(H285,"DD-MMM-YYY")</f>
        <v>06-Nov-1996</v>
      </c>
      <c r="O285" s="6" t="s">
        <v>3878</v>
      </c>
    </row>
    <row r="286" spans="1:15" x14ac:dyDescent="0.35">
      <c r="A286" s="3" t="s">
        <v>239</v>
      </c>
      <c r="B286" s="3" t="s">
        <v>46</v>
      </c>
      <c r="C286" s="3" t="s">
        <v>131</v>
      </c>
      <c r="D286" s="3" t="s">
        <v>48</v>
      </c>
      <c r="E286" s="3" t="s">
        <v>49</v>
      </c>
      <c r="F286" s="3" t="s">
        <v>765</v>
      </c>
      <c r="G286" s="3" t="s">
        <v>766</v>
      </c>
      <c r="H286" s="4">
        <v>35441</v>
      </c>
      <c r="I286" s="6" t="s">
        <v>2257</v>
      </c>
      <c r="J286" s="6" t="s">
        <v>2443</v>
      </c>
      <c r="K286" s="6" t="s">
        <v>2832</v>
      </c>
      <c r="L286" s="6" t="s">
        <v>3213</v>
      </c>
      <c r="M286" s="9" t="s">
        <v>3557</v>
      </c>
      <c r="N286" s="5" t="str">
        <f t="shared" ref="N286" si="274">TEXT(H286, "DD-MMM-YYY")</f>
        <v>11-Jan-1997</v>
      </c>
      <c r="O286" s="6" t="s">
        <v>3879</v>
      </c>
    </row>
    <row r="287" spans="1:15" x14ac:dyDescent="0.35">
      <c r="A287" s="3" t="s">
        <v>243</v>
      </c>
      <c r="B287" s="3" t="s">
        <v>60</v>
      </c>
      <c r="C287" s="3" t="s">
        <v>137</v>
      </c>
      <c r="D287" s="3" t="s">
        <v>62</v>
      </c>
      <c r="E287" s="3" t="s">
        <v>63</v>
      </c>
      <c r="F287" s="3" t="s">
        <v>767</v>
      </c>
      <c r="G287" s="3" t="s">
        <v>768</v>
      </c>
      <c r="H287" s="4">
        <v>35870</v>
      </c>
      <c r="I287" s="6" t="s">
        <v>2258</v>
      </c>
      <c r="J287" s="6" t="s">
        <v>2444</v>
      </c>
      <c r="K287" s="6" t="s">
        <v>2833</v>
      </c>
      <c r="L287" s="6" t="s">
        <v>3214</v>
      </c>
      <c r="M287" s="9" t="s">
        <v>3558</v>
      </c>
      <c r="N287" s="5" t="str">
        <f t="shared" ref="N287" si="275">TEXT(H287,"DD-MMM-YYY")</f>
        <v>16-Mar-1998</v>
      </c>
      <c r="O287" s="6" t="s">
        <v>3880</v>
      </c>
    </row>
    <row r="288" spans="1:15" x14ac:dyDescent="0.35">
      <c r="A288" s="3" t="s">
        <v>247</v>
      </c>
      <c r="B288" s="3" t="s">
        <v>74</v>
      </c>
      <c r="C288" s="3" t="s">
        <v>144</v>
      </c>
      <c r="D288" s="3" t="s">
        <v>76</v>
      </c>
      <c r="E288" s="3" t="s">
        <v>77</v>
      </c>
      <c r="F288" s="3" t="s">
        <v>769</v>
      </c>
      <c r="G288" s="3" t="s">
        <v>770</v>
      </c>
      <c r="H288" s="4">
        <v>36301</v>
      </c>
      <c r="I288" s="6" t="s">
        <v>2259</v>
      </c>
      <c r="J288" s="6" t="s">
        <v>2445</v>
      </c>
      <c r="K288" s="6" t="s">
        <v>2834</v>
      </c>
      <c r="L288" s="6" t="s">
        <v>3215</v>
      </c>
      <c r="M288" s="9" t="s">
        <v>3559</v>
      </c>
      <c r="N288" s="5" t="str">
        <f t="shared" ref="N288" si="276">TEXT(H288, "DD-MMM-YYY")</f>
        <v>21-May-1999</v>
      </c>
      <c r="O288" s="6" t="s">
        <v>3881</v>
      </c>
    </row>
    <row r="289" spans="1:15" x14ac:dyDescent="0.35">
      <c r="A289" s="3" t="s">
        <v>251</v>
      </c>
      <c r="B289" s="3" t="s">
        <v>88</v>
      </c>
      <c r="C289" s="3" t="s">
        <v>151</v>
      </c>
      <c r="D289" s="3" t="s">
        <v>90</v>
      </c>
      <c r="E289" s="3" t="s">
        <v>91</v>
      </c>
      <c r="F289" s="3" t="s">
        <v>771</v>
      </c>
      <c r="G289" s="3" t="s">
        <v>772</v>
      </c>
      <c r="H289" s="4">
        <v>31254</v>
      </c>
      <c r="I289" s="6" t="s">
        <v>2260</v>
      </c>
      <c r="J289" s="6" t="s">
        <v>2446</v>
      </c>
      <c r="K289" s="6" t="s">
        <v>2835</v>
      </c>
      <c r="L289" s="6" t="s">
        <v>3216</v>
      </c>
      <c r="M289" s="9" t="s">
        <v>3560</v>
      </c>
      <c r="N289" s="5" t="str">
        <f t="shared" ref="N289" si="277">TEXT(H289,"DD-MMM-YYY")</f>
        <v>26-Jul-1985</v>
      </c>
      <c r="O289" s="6" t="s">
        <v>3882</v>
      </c>
    </row>
    <row r="290" spans="1:15" x14ac:dyDescent="0.35">
      <c r="A290" s="3" t="s">
        <v>255</v>
      </c>
      <c r="B290" s="3" t="s">
        <v>102</v>
      </c>
      <c r="C290" s="3" t="s">
        <v>158</v>
      </c>
      <c r="D290" s="3" t="s">
        <v>104</v>
      </c>
      <c r="E290" s="3" t="s">
        <v>105</v>
      </c>
      <c r="F290" s="3" t="s">
        <v>773</v>
      </c>
      <c r="G290" s="3" t="s">
        <v>774</v>
      </c>
      <c r="H290" s="4">
        <v>31658</v>
      </c>
      <c r="I290" s="6" t="s">
        <v>2261</v>
      </c>
      <c r="J290" s="6" t="s">
        <v>2447</v>
      </c>
      <c r="K290" s="6" t="s">
        <v>2836</v>
      </c>
      <c r="L290" s="6" t="s">
        <v>3153</v>
      </c>
      <c r="M290" s="9" t="s">
        <v>3561</v>
      </c>
      <c r="N290" s="5" t="str">
        <f t="shared" ref="N290" si="278">TEXT(H290, "DD-MMM-YYY")</f>
        <v>03-Sept-1986</v>
      </c>
      <c r="O290" s="6" t="s">
        <v>3883</v>
      </c>
    </row>
    <row r="291" spans="1:15" x14ac:dyDescent="0.35">
      <c r="A291" s="3" t="s">
        <v>259</v>
      </c>
      <c r="B291" s="3" t="s">
        <v>109</v>
      </c>
      <c r="C291" s="3" t="s">
        <v>164</v>
      </c>
      <c r="D291" s="3" t="s">
        <v>111</v>
      </c>
      <c r="E291" s="3" t="s">
        <v>112</v>
      </c>
      <c r="F291" s="3" t="s">
        <v>775</v>
      </c>
      <c r="G291" s="3" t="s">
        <v>776</v>
      </c>
      <c r="H291" s="4">
        <v>32089</v>
      </c>
      <c r="I291" s="6" t="s">
        <v>2262</v>
      </c>
      <c r="J291" s="6" t="s">
        <v>2448</v>
      </c>
      <c r="K291" s="6" t="s">
        <v>2837</v>
      </c>
      <c r="L291" s="6" t="s">
        <v>3217</v>
      </c>
      <c r="M291" s="9" t="s">
        <v>3562</v>
      </c>
      <c r="N291" s="5" t="str">
        <f t="shared" ref="N291" si="279">TEXT(H291,"DD-MMM-YYY")</f>
        <v>08-Nov-1987</v>
      </c>
      <c r="O291" s="6" t="s">
        <v>3884</v>
      </c>
    </row>
    <row r="292" spans="1:15" x14ac:dyDescent="0.35">
      <c r="A292" s="3" t="s">
        <v>263</v>
      </c>
      <c r="B292" s="3" t="s">
        <v>116</v>
      </c>
      <c r="C292" s="3" t="s">
        <v>19</v>
      </c>
      <c r="D292" s="3" t="s">
        <v>118</v>
      </c>
      <c r="E292" s="3" t="s">
        <v>119</v>
      </c>
      <c r="F292" s="3" t="s">
        <v>777</v>
      </c>
      <c r="G292" s="3" t="s">
        <v>778</v>
      </c>
      <c r="H292" s="4">
        <v>32155</v>
      </c>
      <c r="I292" s="6" t="s">
        <v>2263</v>
      </c>
      <c r="J292" s="6" t="s">
        <v>2449</v>
      </c>
      <c r="K292" s="6" t="s">
        <v>2838</v>
      </c>
      <c r="L292" s="6" t="s">
        <v>3199</v>
      </c>
      <c r="M292" s="9" t="s">
        <v>3563</v>
      </c>
      <c r="N292" s="5" t="str">
        <f t="shared" ref="N292" si="280">TEXT(H292, "DD-MMM-YYY")</f>
        <v>13-Jan-1988</v>
      </c>
      <c r="O292" s="6" t="s">
        <v>30</v>
      </c>
    </row>
    <row r="293" spans="1:15" x14ac:dyDescent="0.35">
      <c r="A293" s="3" t="s">
        <v>267</v>
      </c>
      <c r="B293" s="3" t="s">
        <v>123</v>
      </c>
      <c r="C293" s="3" t="s">
        <v>33</v>
      </c>
      <c r="D293" s="3" t="s">
        <v>125</v>
      </c>
      <c r="E293" s="3" t="s">
        <v>126</v>
      </c>
      <c r="F293" s="3" t="s">
        <v>779</v>
      </c>
      <c r="G293" s="3" t="s">
        <v>780</v>
      </c>
      <c r="H293" s="4">
        <v>32585</v>
      </c>
      <c r="I293" s="6" t="s">
        <v>2264</v>
      </c>
      <c r="J293" s="6" t="s">
        <v>2450</v>
      </c>
      <c r="K293" s="6" t="s">
        <v>2839</v>
      </c>
      <c r="L293" s="6" t="s">
        <v>3179</v>
      </c>
      <c r="M293" s="9" t="s">
        <v>3564</v>
      </c>
      <c r="N293" s="5" t="str">
        <f t="shared" ref="N293" si="281">TEXT(H293,"DD-MMM-YYY")</f>
        <v>18-Mar-1989</v>
      </c>
      <c r="O293" s="6" t="s">
        <v>44</v>
      </c>
    </row>
    <row r="294" spans="1:15" x14ac:dyDescent="0.35">
      <c r="A294" s="3" t="s">
        <v>271</v>
      </c>
      <c r="B294" s="3" t="s">
        <v>130</v>
      </c>
      <c r="C294" s="3" t="s">
        <v>47</v>
      </c>
      <c r="D294" s="3" t="s">
        <v>132</v>
      </c>
      <c r="E294" s="3" t="s">
        <v>126</v>
      </c>
      <c r="F294" s="3" t="s">
        <v>781</v>
      </c>
      <c r="G294" s="3" t="s">
        <v>782</v>
      </c>
      <c r="H294" s="4">
        <v>33016</v>
      </c>
      <c r="I294" s="6" t="s">
        <v>2265</v>
      </c>
      <c r="J294" s="6" t="s">
        <v>2451</v>
      </c>
      <c r="K294" s="6" t="s">
        <v>2840</v>
      </c>
      <c r="L294" s="6" t="s">
        <v>3218</v>
      </c>
      <c r="M294" s="9" t="s">
        <v>3565</v>
      </c>
      <c r="N294" s="5" t="str">
        <f t="shared" ref="N294" si="282">TEXT(H294, "DD-MMM-YYY")</f>
        <v>23-May-1990</v>
      </c>
      <c r="O294" s="6" t="s">
        <v>58</v>
      </c>
    </row>
    <row r="295" spans="1:15" x14ac:dyDescent="0.35">
      <c r="A295" s="3" t="s">
        <v>274</v>
      </c>
      <c r="B295" s="3" t="s">
        <v>136</v>
      </c>
      <c r="C295" s="3" t="s">
        <v>61</v>
      </c>
      <c r="D295" s="3" t="s">
        <v>138</v>
      </c>
      <c r="E295" s="3" t="s">
        <v>139</v>
      </c>
      <c r="F295" s="3" t="s">
        <v>783</v>
      </c>
      <c r="G295" s="3" t="s">
        <v>784</v>
      </c>
      <c r="H295" s="4">
        <v>33447</v>
      </c>
      <c r="I295" s="6" t="s">
        <v>2266</v>
      </c>
      <c r="J295" s="6" t="s">
        <v>1653</v>
      </c>
      <c r="K295" s="6" t="s">
        <v>2841</v>
      </c>
      <c r="L295" s="6" t="s">
        <v>3219</v>
      </c>
      <c r="M295" s="9" t="s">
        <v>3566</v>
      </c>
      <c r="N295" s="5" t="str">
        <f t="shared" ref="N295" si="283">TEXT(H295,"DD-MMM-YYY")</f>
        <v>28-Jul-1991</v>
      </c>
      <c r="O295" s="6" t="s">
        <v>72</v>
      </c>
    </row>
    <row r="296" spans="1:15" x14ac:dyDescent="0.35">
      <c r="A296" s="3" t="s">
        <v>277</v>
      </c>
      <c r="B296" s="3" t="s">
        <v>143</v>
      </c>
      <c r="C296" s="3" t="s">
        <v>75</v>
      </c>
      <c r="D296" s="3" t="s">
        <v>145</v>
      </c>
      <c r="E296" s="3" t="s">
        <v>146</v>
      </c>
      <c r="F296" s="3" t="s">
        <v>785</v>
      </c>
      <c r="G296" s="3" t="s">
        <v>786</v>
      </c>
      <c r="H296" s="4">
        <v>33852</v>
      </c>
      <c r="I296" s="6" t="s">
        <v>2267</v>
      </c>
      <c r="J296" s="6" t="s">
        <v>2452</v>
      </c>
      <c r="K296" s="6" t="s">
        <v>2842</v>
      </c>
      <c r="L296" s="6" t="s">
        <v>3220</v>
      </c>
      <c r="M296" s="9" t="s">
        <v>3567</v>
      </c>
      <c r="N296" s="5" t="str">
        <f t="shared" ref="N296" si="284">TEXT(H296, "DD-MMM-YYY")</f>
        <v>05-Sept-1992</v>
      </c>
      <c r="O296" s="6" t="s">
        <v>86</v>
      </c>
    </row>
    <row r="297" spans="1:15" x14ac:dyDescent="0.35">
      <c r="A297" s="3" t="s">
        <v>280</v>
      </c>
      <c r="B297" s="3" t="s">
        <v>150</v>
      </c>
      <c r="C297" s="3" t="s">
        <v>89</v>
      </c>
      <c r="D297" s="3" t="s">
        <v>152</v>
      </c>
      <c r="E297" s="3" t="s">
        <v>153</v>
      </c>
      <c r="F297" s="3" t="s">
        <v>787</v>
      </c>
      <c r="G297" s="3" t="s">
        <v>788</v>
      </c>
      <c r="H297" s="4">
        <v>34283</v>
      </c>
      <c r="I297" s="6" t="s">
        <v>2268</v>
      </c>
      <c r="J297" s="6" t="s">
        <v>2453</v>
      </c>
      <c r="K297" s="6" t="s">
        <v>2843</v>
      </c>
      <c r="L297" s="6" t="s">
        <v>3221</v>
      </c>
      <c r="M297" s="9" t="s">
        <v>3568</v>
      </c>
      <c r="N297" s="5" t="str">
        <f t="shared" ref="N297" si="285">TEXT(H297,"DD-MMM-YYY")</f>
        <v>10-Nov-1993</v>
      </c>
      <c r="O297" s="6" t="s">
        <v>100</v>
      </c>
    </row>
    <row r="298" spans="1:15" x14ac:dyDescent="0.35">
      <c r="A298" s="3" t="s">
        <v>283</v>
      </c>
      <c r="B298" s="3" t="s">
        <v>157</v>
      </c>
      <c r="C298" s="3" t="s">
        <v>103</v>
      </c>
      <c r="D298" s="3" t="s">
        <v>159</v>
      </c>
      <c r="E298" s="3" t="s">
        <v>77</v>
      </c>
      <c r="F298" s="3" t="s">
        <v>789</v>
      </c>
      <c r="G298" s="3" t="s">
        <v>790</v>
      </c>
      <c r="H298" s="4">
        <v>34349</v>
      </c>
      <c r="I298" s="6" t="s">
        <v>2269</v>
      </c>
      <c r="J298" s="6" t="s">
        <v>2454</v>
      </c>
      <c r="K298" s="6" t="s">
        <v>2844</v>
      </c>
      <c r="L298" s="6" t="s">
        <v>3151</v>
      </c>
      <c r="M298" s="9" t="s">
        <v>3569</v>
      </c>
      <c r="N298" s="5" t="str">
        <f t="shared" ref="N298" si="286">TEXT(H298, "DD-MMM-YYY")</f>
        <v>15-Jan-1994</v>
      </c>
      <c r="O298" s="6" t="s">
        <v>3875</v>
      </c>
    </row>
    <row r="299" spans="1:15" x14ac:dyDescent="0.35">
      <c r="A299" s="3" t="s">
        <v>286</v>
      </c>
      <c r="B299" s="3" t="s">
        <v>163</v>
      </c>
      <c r="C299" s="3" t="s">
        <v>110</v>
      </c>
      <c r="D299" s="3" t="s">
        <v>165</v>
      </c>
      <c r="E299" s="3" t="s">
        <v>166</v>
      </c>
      <c r="F299" s="3" t="s">
        <v>791</v>
      </c>
      <c r="G299" s="3" t="s">
        <v>792</v>
      </c>
      <c r="H299" s="4">
        <v>34778</v>
      </c>
      <c r="I299" s="6" t="s">
        <v>2270</v>
      </c>
      <c r="J299" s="6" t="s">
        <v>2455</v>
      </c>
      <c r="K299" s="6" t="s">
        <v>2845</v>
      </c>
      <c r="L299" s="6" t="s">
        <v>3222</v>
      </c>
      <c r="M299" s="9" t="s">
        <v>3570</v>
      </c>
      <c r="N299" s="5" t="str">
        <f t="shared" ref="N299" si="287">TEXT(H299,"DD-MMM-YYY")</f>
        <v>20-Mar-1995</v>
      </c>
      <c r="O299" s="6" t="s">
        <v>3876</v>
      </c>
    </row>
    <row r="300" spans="1:15" x14ac:dyDescent="0.35">
      <c r="A300" s="3" t="s">
        <v>289</v>
      </c>
      <c r="B300" s="3" t="s">
        <v>170</v>
      </c>
      <c r="C300" s="3" t="s">
        <v>117</v>
      </c>
      <c r="D300" s="3" t="s">
        <v>171</v>
      </c>
      <c r="E300" s="3" t="s">
        <v>172</v>
      </c>
      <c r="F300" s="3" t="s">
        <v>793</v>
      </c>
      <c r="G300" s="3" t="s">
        <v>794</v>
      </c>
      <c r="H300" s="4">
        <v>35210</v>
      </c>
      <c r="I300" s="6" t="s">
        <v>2271</v>
      </c>
      <c r="J300" s="6" t="s">
        <v>2456</v>
      </c>
      <c r="K300" s="6" t="s">
        <v>2846</v>
      </c>
      <c r="L300" s="6" t="s">
        <v>3223</v>
      </c>
      <c r="M300" s="9" t="s">
        <v>3571</v>
      </c>
      <c r="N300" s="5" t="str">
        <f t="shared" ref="N300" si="288">TEXT(H300, "DD-MMM-YYY")</f>
        <v>25-May-1996</v>
      </c>
      <c r="O300" s="6" t="s">
        <v>3877</v>
      </c>
    </row>
    <row r="301" spans="1:15" x14ac:dyDescent="0.35">
      <c r="A301" s="3" t="s">
        <v>292</v>
      </c>
      <c r="B301" s="3" t="s">
        <v>176</v>
      </c>
      <c r="C301" s="3" t="s">
        <v>124</v>
      </c>
      <c r="D301" s="3" t="s">
        <v>162</v>
      </c>
      <c r="E301" s="3" t="s">
        <v>63</v>
      </c>
      <c r="F301" s="3" t="s">
        <v>795</v>
      </c>
      <c r="G301" s="3" t="s">
        <v>796</v>
      </c>
      <c r="H301" s="4">
        <v>35613</v>
      </c>
      <c r="I301" s="6" t="s">
        <v>2272</v>
      </c>
      <c r="J301" s="6" t="s">
        <v>2457</v>
      </c>
      <c r="K301" s="6" t="s">
        <v>2847</v>
      </c>
      <c r="L301" s="6" t="s">
        <v>3224</v>
      </c>
      <c r="M301" s="9" t="s">
        <v>3572</v>
      </c>
      <c r="N301" s="5" t="str">
        <f t="shared" ref="N301" si="289">TEXT(H301,"DD-MMM-YYY")</f>
        <v>02-Jul-1997</v>
      </c>
      <c r="O301" s="6" t="s">
        <v>3878</v>
      </c>
    </row>
    <row r="302" spans="1:15" x14ac:dyDescent="0.35">
      <c r="A302" s="3" t="s">
        <v>295</v>
      </c>
      <c r="B302" s="3" t="s">
        <v>180</v>
      </c>
      <c r="C302" s="3" t="s">
        <v>131</v>
      </c>
      <c r="D302" s="3" t="s">
        <v>181</v>
      </c>
      <c r="E302" s="3" t="s">
        <v>182</v>
      </c>
      <c r="F302" s="3" t="s">
        <v>797</v>
      </c>
      <c r="G302" s="3" t="s">
        <v>798</v>
      </c>
      <c r="H302" s="4">
        <v>36045</v>
      </c>
      <c r="I302" s="6" t="s">
        <v>2273</v>
      </c>
      <c r="J302" s="6" t="s">
        <v>2458</v>
      </c>
      <c r="K302" s="6" t="s">
        <v>2848</v>
      </c>
      <c r="L302" s="6" t="s">
        <v>3225</v>
      </c>
      <c r="M302" s="9" t="s">
        <v>3573</v>
      </c>
      <c r="N302" s="5" t="str">
        <f t="shared" ref="N302" si="290">TEXT(H302, "DD-MMM-YYY")</f>
        <v>07-Sept-1998</v>
      </c>
      <c r="O302" s="6" t="s">
        <v>3879</v>
      </c>
    </row>
    <row r="303" spans="1:15" x14ac:dyDescent="0.35">
      <c r="A303" s="3" t="s">
        <v>298</v>
      </c>
      <c r="B303" s="3" t="s">
        <v>186</v>
      </c>
      <c r="C303" s="3" t="s">
        <v>137</v>
      </c>
      <c r="D303" s="3" t="s">
        <v>187</v>
      </c>
      <c r="E303" s="3" t="s">
        <v>188</v>
      </c>
      <c r="F303" s="3" t="s">
        <v>799</v>
      </c>
      <c r="G303" s="3" t="s">
        <v>800</v>
      </c>
      <c r="H303" s="4">
        <v>36476</v>
      </c>
      <c r="I303" s="6" t="s">
        <v>2274</v>
      </c>
      <c r="J303" s="6" t="s">
        <v>2459</v>
      </c>
      <c r="K303" s="6" t="s">
        <v>2849</v>
      </c>
      <c r="L303" s="6" t="s">
        <v>3226</v>
      </c>
      <c r="M303" s="9" t="s">
        <v>3574</v>
      </c>
      <c r="N303" s="5" t="str">
        <f t="shared" ref="N303" si="291">TEXT(H303,"DD-MMM-YYY")</f>
        <v>12-Nov-1999</v>
      </c>
      <c r="O303" s="6" t="s">
        <v>3880</v>
      </c>
    </row>
    <row r="304" spans="1:15" x14ac:dyDescent="0.35">
      <c r="A304" s="3" t="s">
        <v>17</v>
      </c>
      <c r="B304" s="3" t="s">
        <v>192</v>
      </c>
      <c r="C304" s="3" t="s">
        <v>144</v>
      </c>
      <c r="D304" s="3" t="s">
        <v>20</v>
      </c>
      <c r="E304" s="3" t="s">
        <v>21</v>
      </c>
      <c r="F304" s="3" t="s">
        <v>801</v>
      </c>
      <c r="G304" s="3" t="s">
        <v>802</v>
      </c>
      <c r="H304" s="4">
        <v>31064</v>
      </c>
      <c r="I304" s="6" t="s">
        <v>2275</v>
      </c>
      <c r="J304" s="6" t="s">
        <v>2460</v>
      </c>
      <c r="K304" s="6" t="s">
        <v>2850</v>
      </c>
      <c r="L304" s="6" t="s">
        <v>3162</v>
      </c>
      <c r="M304" s="9" t="s">
        <v>3575</v>
      </c>
      <c r="N304" s="5" t="str">
        <f t="shared" ref="N304" si="292">TEXT(H304, "DD-MMM-YYY")</f>
        <v>17-Jan-1985</v>
      </c>
      <c r="O304" s="6" t="s">
        <v>3881</v>
      </c>
    </row>
    <row r="305" spans="1:15" x14ac:dyDescent="0.35">
      <c r="A305" s="3" t="s">
        <v>31</v>
      </c>
      <c r="B305" s="3" t="s">
        <v>196</v>
      </c>
      <c r="C305" s="3" t="s">
        <v>151</v>
      </c>
      <c r="D305" s="3" t="s">
        <v>34</v>
      </c>
      <c r="E305" s="3" t="s">
        <v>35</v>
      </c>
      <c r="F305" s="3" t="s">
        <v>803</v>
      </c>
      <c r="G305" s="3" t="s">
        <v>804</v>
      </c>
      <c r="H305" s="4">
        <v>31493</v>
      </c>
      <c r="I305" s="6" t="s">
        <v>2276</v>
      </c>
      <c r="J305" s="6" t="s">
        <v>1583</v>
      </c>
      <c r="K305" s="6" t="s">
        <v>2851</v>
      </c>
      <c r="L305" s="6" t="s">
        <v>3227</v>
      </c>
      <c r="M305" s="9" t="s">
        <v>3576</v>
      </c>
      <c r="N305" s="5" t="str">
        <f t="shared" ref="N305" si="293">TEXT(H305,"DD-MMM-YYY")</f>
        <v>22-Mar-1986</v>
      </c>
      <c r="O305" s="6" t="s">
        <v>3882</v>
      </c>
    </row>
    <row r="306" spans="1:15" x14ac:dyDescent="0.35">
      <c r="A306" s="3" t="s">
        <v>45</v>
      </c>
      <c r="B306" s="3" t="s">
        <v>200</v>
      </c>
      <c r="C306" s="3" t="s">
        <v>158</v>
      </c>
      <c r="D306" s="3" t="s">
        <v>48</v>
      </c>
      <c r="E306" s="3" t="s">
        <v>49</v>
      </c>
      <c r="F306" s="3" t="s">
        <v>805</v>
      </c>
      <c r="G306" s="3" t="s">
        <v>806</v>
      </c>
      <c r="H306" s="4">
        <v>31924</v>
      </c>
      <c r="I306" s="6" t="s">
        <v>2277</v>
      </c>
      <c r="J306" s="6" t="s">
        <v>2461</v>
      </c>
      <c r="K306" s="6" t="s">
        <v>2852</v>
      </c>
      <c r="L306" s="6" t="s">
        <v>3228</v>
      </c>
      <c r="M306" s="9" t="s">
        <v>3577</v>
      </c>
      <c r="N306" s="5" t="str">
        <f t="shared" ref="N306" si="294">TEXT(H306, "DD-MMM-YYY")</f>
        <v>27-May-1987</v>
      </c>
      <c r="O306" s="6" t="s">
        <v>3883</v>
      </c>
    </row>
    <row r="307" spans="1:15" x14ac:dyDescent="0.35">
      <c r="A307" s="3" t="s">
        <v>59</v>
      </c>
      <c r="B307" s="3" t="s">
        <v>204</v>
      </c>
      <c r="C307" s="3" t="s">
        <v>164</v>
      </c>
      <c r="D307" s="3" t="s">
        <v>62</v>
      </c>
      <c r="E307" s="3" t="s">
        <v>63</v>
      </c>
      <c r="F307" s="3" t="s">
        <v>807</v>
      </c>
      <c r="G307" s="3" t="s">
        <v>808</v>
      </c>
      <c r="H307" s="4">
        <v>32328</v>
      </c>
      <c r="I307" s="6" t="s">
        <v>2278</v>
      </c>
      <c r="J307" s="6" t="s">
        <v>2462</v>
      </c>
      <c r="K307" s="6" t="s">
        <v>2853</v>
      </c>
      <c r="L307" s="6" t="s">
        <v>3200</v>
      </c>
      <c r="M307" s="9" t="s">
        <v>3578</v>
      </c>
      <c r="N307" s="5" t="str">
        <f t="shared" ref="N307" si="295">TEXT(H307,"DD-MMM-YYY")</f>
        <v>04-Jul-1988</v>
      </c>
      <c r="O307" s="6" t="s">
        <v>3884</v>
      </c>
    </row>
    <row r="308" spans="1:15" x14ac:dyDescent="0.35">
      <c r="A308" s="3" t="s">
        <v>73</v>
      </c>
      <c r="B308" s="3" t="s">
        <v>208</v>
      </c>
      <c r="C308" s="3" t="s">
        <v>19</v>
      </c>
      <c r="D308" s="3" t="s">
        <v>76</v>
      </c>
      <c r="E308" s="3" t="s">
        <v>77</v>
      </c>
      <c r="F308" s="3" t="s">
        <v>809</v>
      </c>
      <c r="G308" s="3" t="s">
        <v>810</v>
      </c>
      <c r="H308" s="4">
        <v>32760</v>
      </c>
      <c r="I308" s="6" t="s">
        <v>2279</v>
      </c>
      <c r="J308" s="6" t="s">
        <v>2463</v>
      </c>
      <c r="K308" s="6" t="s">
        <v>2854</v>
      </c>
      <c r="L308" s="6" t="s">
        <v>3229</v>
      </c>
      <c r="M308" s="9" t="s">
        <v>3579</v>
      </c>
      <c r="N308" s="5" t="str">
        <f t="shared" ref="N308" si="296">TEXT(H308, "DD-MMM-YYY")</f>
        <v>09-Sept-1989</v>
      </c>
      <c r="O308" s="6" t="s">
        <v>30</v>
      </c>
    </row>
    <row r="309" spans="1:15" x14ac:dyDescent="0.35">
      <c r="A309" s="3" t="s">
        <v>87</v>
      </c>
      <c r="B309" s="3" t="s">
        <v>212</v>
      </c>
      <c r="C309" s="3" t="s">
        <v>33</v>
      </c>
      <c r="D309" s="3" t="s">
        <v>90</v>
      </c>
      <c r="E309" s="3" t="s">
        <v>91</v>
      </c>
      <c r="F309" s="3" t="s">
        <v>811</v>
      </c>
      <c r="G309" s="3" t="s">
        <v>812</v>
      </c>
      <c r="H309" s="4">
        <v>33191</v>
      </c>
      <c r="I309" s="6" t="s">
        <v>2280</v>
      </c>
      <c r="J309" s="6" t="s">
        <v>2464</v>
      </c>
      <c r="K309" s="6" t="s">
        <v>2855</v>
      </c>
      <c r="L309" s="6" t="s">
        <v>3230</v>
      </c>
      <c r="M309" s="9" t="s">
        <v>3580</v>
      </c>
      <c r="N309" s="5" t="str">
        <f t="shared" ref="N309" si="297">TEXT(H309,"DD-MMM-YYY")</f>
        <v>14-Nov-1990</v>
      </c>
      <c r="O309" s="6" t="s">
        <v>44</v>
      </c>
    </row>
    <row r="310" spans="1:15" x14ac:dyDescent="0.35">
      <c r="A310" s="3" t="s">
        <v>101</v>
      </c>
      <c r="B310" s="3" t="s">
        <v>216</v>
      </c>
      <c r="C310" s="3" t="s">
        <v>47</v>
      </c>
      <c r="D310" s="3" t="s">
        <v>104</v>
      </c>
      <c r="E310" s="3" t="s">
        <v>105</v>
      </c>
      <c r="F310" s="3" t="s">
        <v>813</v>
      </c>
      <c r="G310" s="3" t="s">
        <v>814</v>
      </c>
      <c r="H310" s="4">
        <v>33257</v>
      </c>
      <c r="I310" s="6" t="s">
        <v>2281</v>
      </c>
      <c r="J310" s="6" t="s">
        <v>2465</v>
      </c>
      <c r="K310" s="6" t="s">
        <v>2856</v>
      </c>
      <c r="L310" s="6" t="s">
        <v>3212</v>
      </c>
      <c r="M310" s="9" t="s">
        <v>3581</v>
      </c>
      <c r="N310" s="5" t="str">
        <f t="shared" ref="N310" si="298">TEXT(H310, "DD-MMM-YYY")</f>
        <v>19-Jan-1991</v>
      </c>
      <c r="O310" s="6" t="s">
        <v>58</v>
      </c>
    </row>
    <row r="311" spans="1:15" x14ac:dyDescent="0.35">
      <c r="A311" s="3" t="s">
        <v>108</v>
      </c>
      <c r="B311" s="3" t="s">
        <v>220</v>
      </c>
      <c r="C311" s="3" t="s">
        <v>61</v>
      </c>
      <c r="D311" s="3" t="s">
        <v>111</v>
      </c>
      <c r="E311" s="3" t="s">
        <v>112</v>
      </c>
      <c r="F311" s="3" t="s">
        <v>815</v>
      </c>
      <c r="G311" s="3" t="s">
        <v>816</v>
      </c>
      <c r="H311" s="4">
        <v>33687</v>
      </c>
      <c r="I311" s="6" t="s">
        <v>2282</v>
      </c>
      <c r="J311" s="6" t="s">
        <v>2466</v>
      </c>
      <c r="K311" s="6" t="s">
        <v>2857</v>
      </c>
      <c r="L311" s="6" t="s">
        <v>3167</v>
      </c>
      <c r="M311" s="9" t="s">
        <v>3582</v>
      </c>
      <c r="N311" s="5" t="str">
        <f t="shared" ref="N311" si="299">TEXT(H311,"DD-MMM-YYY")</f>
        <v>24-Mar-1992</v>
      </c>
      <c r="O311" s="6" t="s">
        <v>72</v>
      </c>
    </row>
    <row r="312" spans="1:15" x14ac:dyDescent="0.35">
      <c r="A312" s="3" t="s">
        <v>115</v>
      </c>
      <c r="B312" s="3" t="s">
        <v>224</v>
      </c>
      <c r="C312" s="3" t="s">
        <v>75</v>
      </c>
      <c r="D312" s="3" t="s">
        <v>118</v>
      </c>
      <c r="E312" s="3" t="s">
        <v>119</v>
      </c>
      <c r="F312" s="3" t="s">
        <v>817</v>
      </c>
      <c r="G312" s="3" t="s">
        <v>818</v>
      </c>
      <c r="H312" s="4">
        <v>34090</v>
      </c>
      <c r="I312" s="6" t="s">
        <v>2283</v>
      </c>
      <c r="J312" s="6" t="s">
        <v>2467</v>
      </c>
      <c r="K312" s="6" t="s">
        <v>2858</v>
      </c>
      <c r="L312" s="6" t="s">
        <v>3231</v>
      </c>
      <c r="M312" s="9" t="s">
        <v>3583</v>
      </c>
      <c r="N312" s="5" t="str">
        <f t="shared" ref="N312" si="300">TEXT(H312, "DD-MMM-YYY")</f>
        <v>01-May-1993</v>
      </c>
      <c r="O312" s="6" t="s">
        <v>86</v>
      </c>
    </row>
    <row r="313" spans="1:15" x14ac:dyDescent="0.35">
      <c r="A313" s="3" t="s">
        <v>122</v>
      </c>
      <c r="B313" s="3" t="s">
        <v>228</v>
      </c>
      <c r="C313" s="3" t="s">
        <v>89</v>
      </c>
      <c r="D313" s="3" t="s">
        <v>125</v>
      </c>
      <c r="E313" s="3" t="s">
        <v>126</v>
      </c>
      <c r="F313" s="3" t="s">
        <v>819</v>
      </c>
      <c r="G313" s="3" t="s">
        <v>820</v>
      </c>
      <c r="H313" s="4">
        <v>34521</v>
      </c>
      <c r="I313" s="6" t="s">
        <v>2284</v>
      </c>
      <c r="J313" s="6" t="s">
        <v>2468</v>
      </c>
      <c r="K313" s="6" t="s">
        <v>2859</v>
      </c>
      <c r="L313" s="6" t="s">
        <v>3232</v>
      </c>
      <c r="M313" s="9" t="s">
        <v>3584</v>
      </c>
      <c r="N313" s="5" t="str">
        <f t="shared" ref="N313" si="301">TEXT(H313,"DD-MMM-YYY")</f>
        <v>06-Jul-1994</v>
      </c>
      <c r="O313" s="6" t="s">
        <v>100</v>
      </c>
    </row>
    <row r="314" spans="1:15" x14ac:dyDescent="0.35">
      <c r="A314" s="3" t="s">
        <v>129</v>
      </c>
      <c r="B314" s="3" t="s">
        <v>232</v>
      </c>
      <c r="C314" s="3" t="s">
        <v>103</v>
      </c>
      <c r="D314" s="3" t="s">
        <v>132</v>
      </c>
      <c r="E314" s="3" t="s">
        <v>126</v>
      </c>
      <c r="F314" s="3" t="s">
        <v>821</v>
      </c>
      <c r="G314" s="3" t="s">
        <v>822</v>
      </c>
      <c r="H314" s="4">
        <v>34953</v>
      </c>
      <c r="I314" s="6" t="s">
        <v>2285</v>
      </c>
      <c r="J314" s="6" t="s">
        <v>2469</v>
      </c>
      <c r="K314" s="6" t="s">
        <v>2860</v>
      </c>
      <c r="L314" s="6" t="s">
        <v>3167</v>
      </c>
      <c r="M314" s="9" t="s">
        <v>3585</v>
      </c>
      <c r="N314" s="5" t="str">
        <f t="shared" ref="N314" si="302">TEXT(H314, "DD-MMM-YYY")</f>
        <v>11-Sept-1995</v>
      </c>
      <c r="O314" s="6" t="s">
        <v>3875</v>
      </c>
    </row>
    <row r="315" spans="1:15" x14ac:dyDescent="0.35">
      <c r="A315" s="3" t="s">
        <v>135</v>
      </c>
      <c r="B315" s="3" t="s">
        <v>236</v>
      </c>
      <c r="C315" s="3" t="s">
        <v>110</v>
      </c>
      <c r="D315" s="3" t="s">
        <v>138</v>
      </c>
      <c r="E315" s="3" t="s">
        <v>139</v>
      </c>
      <c r="F315" s="3" t="s">
        <v>823</v>
      </c>
      <c r="G315" s="3" t="s">
        <v>824</v>
      </c>
      <c r="H315" s="4">
        <v>35385</v>
      </c>
      <c r="I315" s="6" t="s">
        <v>2286</v>
      </c>
      <c r="J315" s="6" t="s">
        <v>1445</v>
      </c>
      <c r="K315" s="6" t="s">
        <v>2861</v>
      </c>
      <c r="L315" s="6" t="s">
        <v>3233</v>
      </c>
      <c r="M315" s="9" t="s">
        <v>3586</v>
      </c>
      <c r="N315" s="5" t="str">
        <f t="shared" ref="N315" si="303">TEXT(H315,"DD-MMM-YYY")</f>
        <v>16-Nov-1996</v>
      </c>
      <c r="O315" s="6" t="s">
        <v>3876</v>
      </c>
    </row>
    <row r="316" spans="1:15" x14ac:dyDescent="0.35">
      <c r="A316" s="3" t="s">
        <v>142</v>
      </c>
      <c r="B316" s="3" t="s">
        <v>240</v>
      </c>
      <c r="C316" s="3" t="s">
        <v>117</v>
      </c>
      <c r="D316" s="3" t="s">
        <v>145</v>
      </c>
      <c r="E316" s="3" t="s">
        <v>146</v>
      </c>
      <c r="F316" s="3" t="s">
        <v>825</v>
      </c>
      <c r="G316" s="3" t="s">
        <v>826</v>
      </c>
      <c r="H316" s="4">
        <v>35451</v>
      </c>
      <c r="I316" s="6" t="s">
        <v>2287</v>
      </c>
      <c r="J316" s="6" t="s">
        <v>2470</v>
      </c>
      <c r="K316" s="6" t="s">
        <v>2862</v>
      </c>
      <c r="L316" s="6" t="s">
        <v>3234</v>
      </c>
      <c r="M316" s="9" t="s">
        <v>3587</v>
      </c>
      <c r="N316" s="5" t="str">
        <f t="shared" ref="N316" si="304">TEXT(H316, "DD-MMM-YYY")</f>
        <v>21-Jan-1997</v>
      </c>
      <c r="O316" s="6" t="s">
        <v>3877</v>
      </c>
    </row>
    <row r="317" spans="1:15" x14ac:dyDescent="0.35">
      <c r="A317" s="3" t="s">
        <v>149</v>
      </c>
      <c r="B317" s="3" t="s">
        <v>244</v>
      </c>
      <c r="C317" s="3" t="s">
        <v>124</v>
      </c>
      <c r="D317" s="3" t="s">
        <v>152</v>
      </c>
      <c r="E317" s="3" t="s">
        <v>153</v>
      </c>
      <c r="F317" s="3" t="s">
        <v>827</v>
      </c>
      <c r="G317" s="3" t="s">
        <v>828</v>
      </c>
      <c r="H317" s="4">
        <v>35880</v>
      </c>
      <c r="I317" s="6" t="s">
        <v>2288</v>
      </c>
      <c r="J317" s="6" t="s">
        <v>2471</v>
      </c>
      <c r="K317" s="6" t="s">
        <v>2863</v>
      </c>
      <c r="L317" s="6" t="s">
        <v>3235</v>
      </c>
      <c r="M317" s="9" t="s">
        <v>3588</v>
      </c>
      <c r="N317" s="5" t="str">
        <f t="shared" ref="N317" si="305">TEXT(H317,"DD-MMM-YYY")</f>
        <v>26-Mar-1998</v>
      </c>
      <c r="O317" s="6" t="s">
        <v>3878</v>
      </c>
    </row>
    <row r="318" spans="1:15" x14ac:dyDescent="0.35">
      <c r="A318" s="3" t="s">
        <v>156</v>
      </c>
      <c r="B318" s="3" t="s">
        <v>248</v>
      </c>
      <c r="C318" s="3" t="s">
        <v>131</v>
      </c>
      <c r="D318" s="3" t="s">
        <v>159</v>
      </c>
      <c r="E318" s="3" t="s">
        <v>77</v>
      </c>
      <c r="F318" s="3" t="s">
        <v>829</v>
      </c>
      <c r="G318" s="3" t="s">
        <v>830</v>
      </c>
      <c r="H318" s="4">
        <v>36283</v>
      </c>
      <c r="I318" s="6" t="s">
        <v>2289</v>
      </c>
      <c r="J318" s="6" t="s">
        <v>2472</v>
      </c>
      <c r="K318" s="6" t="s">
        <v>2864</v>
      </c>
      <c r="L318" s="6" t="s">
        <v>3236</v>
      </c>
      <c r="M318" s="9" t="s">
        <v>3589</v>
      </c>
      <c r="N318" s="5" t="str">
        <f t="shared" ref="N318" si="306">TEXT(H318, "DD-MMM-YYY")</f>
        <v>03-May-1999</v>
      </c>
      <c r="O318" s="6" t="s">
        <v>3879</v>
      </c>
    </row>
    <row r="319" spans="1:15" x14ac:dyDescent="0.35">
      <c r="A319" s="3" t="s">
        <v>162</v>
      </c>
      <c r="B319" s="3" t="s">
        <v>252</v>
      </c>
      <c r="C319" s="3" t="s">
        <v>137</v>
      </c>
      <c r="D319" s="3" t="s">
        <v>165</v>
      </c>
      <c r="E319" s="3" t="s">
        <v>166</v>
      </c>
      <c r="F319" s="3" t="s">
        <v>831</v>
      </c>
      <c r="G319" s="3" t="s">
        <v>832</v>
      </c>
      <c r="H319" s="4">
        <v>31236</v>
      </c>
      <c r="I319" s="6" t="s">
        <v>2290</v>
      </c>
      <c r="J319" s="6" t="s">
        <v>2473</v>
      </c>
      <c r="K319" s="6" t="s">
        <v>2865</v>
      </c>
      <c r="L319" s="6" t="s">
        <v>3237</v>
      </c>
      <c r="M319" s="9" t="s">
        <v>3590</v>
      </c>
      <c r="N319" s="5" t="str">
        <f t="shared" ref="N319" si="307">TEXT(H319,"DD-MMM-YYY")</f>
        <v>08-Jul-1985</v>
      </c>
      <c r="O319" s="6" t="s">
        <v>3880</v>
      </c>
    </row>
    <row r="320" spans="1:15" x14ac:dyDescent="0.35">
      <c r="A320" s="3" t="s">
        <v>169</v>
      </c>
      <c r="B320" s="3" t="s">
        <v>256</v>
      </c>
      <c r="C320" s="3" t="s">
        <v>144</v>
      </c>
      <c r="D320" s="3" t="s">
        <v>171</v>
      </c>
      <c r="E320" s="3" t="s">
        <v>172</v>
      </c>
      <c r="F320" s="3" t="s">
        <v>833</v>
      </c>
      <c r="G320" s="3" t="s">
        <v>834</v>
      </c>
      <c r="H320" s="4">
        <v>31668</v>
      </c>
      <c r="I320" s="6" t="s">
        <v>2291</v>
      </c>
      <c r="J320" s="6" t="s">
        <v>2474</v>
      </c>
      <c r="K320" s="6" t="s">
        <v>2866</v>
      </c>
      <c r="L320" s="6" t="s">
        <v>3238</v>
      </c>
      <c r="M320" s="9" t="s">
        <v>3591</v>
      </c>
      <c r="N320" s="5" t="str">
        <f t="shared" ref="N320" si="308">TEXT(H320, "DD-MMM-YYY")</f>
        <v>13-Sept-1986</v>
      </c>
      <c r="O320" s="6" t="s">
        <v>3881</v>
      </c>
    </row>
    <row r="321" spans="1:15" x14ac:dyDescent="0.35">
      <c r="A321" s="3" t="s">
        <v>175</v>
      </c>
      <c r="B321" s="3" t="s">
        <v>260</v>
      </c>
      <c r="C321" s="3" t="s">
        <v>151</v>
      </c>
      <c r="D321" s="3" t="s">
        <v>162</v>
      </c>
      <c r="E321" s="3" t="s">
        <v>63</v>
      </c>
      <c r="F321" s="3" t="s">
        <v>835</v>
      </c>
      <c r="G321" s="3" t="s">
        <v>836</v>
      </c>
      <c r="H321" s="4">
        <v>32099</v>
      </c>
      <c r="I321" s="6" t="s">
        <v>2292</v>
      </c>
      <c r="J321" s="6" t="s">
        <v>2475</v>
      </c>
      <c r="K321" s="6" t="s">
        <v>2867</v>
      </c>
      <c r="L321" s="6" t="s">
        <v>3239</v>
      </c>
      <c r="M321" s="9" t="s">
        <v>3592</v>
      </c>
      <c r="N321" s="5" t="str">
        <f t="shared" ref="N321" si="309">TEXT(H321,"DD-MMM-YYY")</f>
        <v>18-Nov-1987</v>
      </c>
      <c r="O321" s="6" t="s">
        <v>3882</v>
      </c>
    </row>
    <row r="322" spans="1:15" x14ac:dyDescent="0.35">
      <c r="A322" s="3" t="s">
        <v>179</v>
      </c>
      <c r="B322" s="3" t="s">
        <v>264</v>
      </c>
      <c r="C322" s="3" t="s">
        <v>158</v>
      </c>
      <c r="D322" s="3" t="s">
        <v>181</v>
      </c>
      <c r="E322" s="3" t="s">
        <v>182</v>
      </c>
      <c r="F322" s="3" t="s">
        <v>837</v>
      </c>
      <c r="G322" s="3" t="s">
        <v>838</v>
      </c>
      <c r="H322" s="4">
        <v>32165</v>
      </c>
      <c r="I322" s="6" t="s">
        <v>2293</v>
      </c>
      <c r="J322" s="6" t="s">
        <v>2476</v>
      </c>
      <c r="K322" s="6" t="s">
        <v>2868</v>
      </c>
      <c r="L322" s="6" t="s">
        <v>3240</v>
      </c>
      <c r="M322" s="9" t="s">
        <v>3593</v>
      </c>
      <c r="N322" s="5" t="str">
        <f t="shared" ref="N322" si="310">TEXT(H322, "DD-MMM-YYY")</f>
        <v>23-Jan-1988</v>
      </c>
      <c r="O322" s="6" t="s">
        <v>3883</v>
      </c>
    </row>
    <row r="323" spans="1:15" x14ac:dyDescent="0.35">
      <c r="A323" s="3" t="s">
        <v>185</v>
      </c>
      <c r="B323" s="3" t="s">
        <v>268</v>
      </c>
      <c r="C323" s="3" t="s">
        <v>164</v>
      </c>
      <c r="D323" s="3" t="s">
        <v>187</v>
      </c>
      <c r="E323" s="3" t="s">
        <v>188</v>
      </c>
      <c r="F323" s="3" t="s">
        <v>839</v>
      </c>
      <c r="G323" s="3" t="s">
        <v>840</v>
      </c>
      <c r="H323" s="4">
        <v>32595</v>
      </c>
      <c r="I323" s="6" t="s">
        <v>2294</v>
      </c>
      <c r="J323" s="6" t="s">
        <v>2477</v>
      </c>
      <c r="K323" s="6" t="s">
        <v>2869</v>
      </c>
      <c r="L323" s="6" t="s">
        <v>3186</v>
      </c>
      <c r="M323" s="9" t="s">
        <v>3594</v>
      </c>
      <c r="N323" s="5" t="str">
        <f t="shared" ref="N323" si="311">TEXT(H323,"DD-MMM-YYY")</f>
        <v>28-Mar-1989</v>
      </c>
      <c r="O323" s="6" t="s">
        <v>3884</v>
      </c>
    </row>
    <row r="324" spans="1:15" x14ac:dyDescent="0.35">
      <c r="A324" s="3" t="s">
        <v>191</v>
      </c>
      <c r="B324" s="3" t="s">
        <v>18</v>
      </c>
      <c r="C324" s="3" t="s">
        <v>19</v>
      </c>
      <c r="D324" s="3" t="s">
        <v>20</v>
      </c>
      <c r="E324" s="3" t="s">
        <v>21</v>
      </c>
      <c r="F324" s="3" t="s">
        <v>841</v>
      </c>
      <c r="G324" s="3" t="s">
        <v>842</v>
      </c>
      <c r="H324" s="4">
        <v>32998</v>
      </c>
      <c r="I324" s="6" t="s">
        <v>2295</v>
      </c>
      <c r="J324" s="6" t="s">
        <v>2478</v>
      </c>
      <c r="K324" s="6" t="s">
        <v>2870</v>
      </c>
      <c r="L324" s="6" t="s">
        <v>27</v>
      </c>
      <c r="M324" s="9" t="s">
        <v>3595</v>
      </c>
      <c r="N324" s="5" t="str">
        <f t="shared" ref="N324" si="312">TEXT(H324, "DD-MMM-YYY")</f>
        <v>05-May-1990</v>
      </c>
      <c r="O324" s="6" t="s">
        <v>30</v>
      </c>
    </row>
    <row r="325" spans="1:15" x14ac:dyDescent="0.35">
      <c r="A325" s="3" t="s">
        <v>195</v>
      </c>
      <c r="B325" s="3" t="s">
        <v>32</v>
      </c>
      <c r="C325" s="3" t="s">
        <v>33</v>
      </c>
      <c r="D325" s="3" t="s">
        <v>34</v>
      </c>
      <c r="E325" s="3" t="s">
        <v>35</v>
      </c>
      <c r="F325" s="3" t="s">
        <v>843</v>
      </c>
      <c r="G325" s="3" t="s">
        <v>844</v>
      </c>
      <c r="H325" s="4">
        <v>33429</v>
      </c>
      <c r="I325" s="6" t="s">
        <v>2296</v>
      </c>
      <c r="J325" s="6" t="s">
        <v>1643</v>
      </c>
      <c r="K325" s="6" t="s">
        <v>2871</v>
      </c>
      <c r="L325" s="6" t="s">
        <v>3212</v>
      </c>
      <c r="M325" s="9" t="s">
        <v>3596</v>
      </c>
      <c r="N325" s="5" t="str">
        <f t="shared" ref="N325" si="313">TEXT(H325,"DD-MMM-YYY")</f>
        <v>10-Jul-1991</v>
      </c>
      <c r="O325" s="6" t="s">
        <v>44</v>
      </c>
    </row>
    <row r="326" spans="1:15" x14ac:dyDescent="0.35">
      <c r="A326" s="3" t="s">
        <v>199</v>
      </c>
      <c r="B326" s="3" t="s">
        <v>46</v>
      </c>
      <c r="C326" s="3" t="s">
        <v>47</v>
      </c>
      <c r="D326" s="3" t="s">
        <v>48</v>
      </c>
      <c r="E326" s="3" t="s">
        <v>49</v>
      </c>
      <c r="F326" s="3" t="s">
        <v>845</v>
      </c>
      <c r="G326" s="3" t="s">
        <v>846</v>
      </c>
      <c r="H326" s="4">
        <v>33862</v>
      </c>
      <c r="I326" s="6" t="s">
        <v>2297</v>
      </c>
      <c r="J326" s="6" t="s">
        <v>2479</v>
      </c>
      <c r="K326" s="6" t="s">
        <v>2872</v>
      </c>
      <c r="L326" s="6" t="s">
        <v>3239</v>
      </c>
      <c r="M326" s="9" t="s">
        <v>3597</v>
      </c>
      <c r="N326" s="5" t="str">
        <f t="shared" ref="N326" si="314">TEXT(H326, "DD-MMM-YYY")</f>
        <v>15-Sept-1992</v>
      </c>
      <c r="O326" s="6" t="s">
        <v>58</v>
      </c>
    </row>
    <row r="327" spans="1:15" x14ac:dyDescent="0.35">
      <c r="A327" s="3" t="s">
        <v>203</v>
      </c>
      <c r="B327" s="3" t="s">
        <v>60</v>
      </c>
      <c r="C327" s="3" t="s">
        <v>61</v>
      </c>
      <c r="D327" s="3" t="s">
        <v>62</v>
      </c>
      <c r="E327" s="3" t="s">
        <v>63</v>
      </c>
      <c r="F327" s="3" t="s">
        <v>847</v>
      </c>
      <c r="G327" s="3" t="s">
        <v>848</v>
      </c>
      <c r="H327" s="4">
        <v>34293</v>
      </c>
      <c r="I327" s="6" t="s">
        <v>2298</v>
      </c>
      <c r="J327" s="6" t="s">
        <v>2480</v>
      </c>
      <c r="K327" s="6" t="s">
        <v>2873</v>
      </c>
      <c r="L327" s="6" t="s">
        <v>3241</v>
      </c>
      <c r="M327" s="9" t="s">
        <v>3598</v>
      </c>
      <c r="N327" s="5" t="str">
        <f t="shared" ref="N327" si="315">TEXT(H327,"DD-MMM-YYY")</f>
        <v>20-Nov-1993</v>
      </c>
      <c r="O327" s="6" t="s">
        <v>72</v>
      </c>
    </row>
    <row r="328" spans="1:15" x14ac:dyDescent="0.35">
      <c r="A328" s="3" t="s">
        <v>207</v>
      </c>
      <c r="B328" s="3" t="s">
        <v>74</v>
      </c>
      <c r="C328" s="3" t="s">
        <v>75</v>
      </c>
      <c r="D328" s="3" t="s">
        <v>76</v>
      </c>
      <c r="E328" s="3" t="s">
        <v>77</v>
      </c>
      <c r="F328" s="3" t="s">
        <v>849</v>
      </c>
      <c r="G328" s="3" t="s">
        <v>850</v>
      </c>
      <c r="H328" s="4">
        <v>34359</v>
      </c>
      <c r="I328" s="6" t="s">
        <v>2299</v>
      </c>
      <c r="J328" s="6" t="s">
        <v>2481</v>
      </c>
      <c r="K328" s="6" t="s">
        <v>2874</v>
      </c>
      <c r="L328" s="6" t="s">
        <v>3242</v>
      </c>
      <c r="M328" s="9" t="s">
        <v>3599</v>
      </c>
      <c r="N328" s="5" t="str">
        <f t="shared" ref="N328" si="316">TEXT(H328, "DD-MMM-YYY")</f>
        <v>25-Jan-1994</v>
      </c>
      <c r="O328" s="6" t="s">
        <v>86</v>
      </c>
    </row>
    <row r="329" spans="1:15" x14ac:dyDescent="0.35">
      <c r="A329" s="3" t="s">
        <v>211</v>
      </c>
      <c r="B329" s="3" t="s">
        <v>88</v>
      </c>
      <c r="C329" s="3" t="s">
        <v>89</v>
      </c>
      <c r="D329" s="3" t="s">
        <v>90</v>
      </c>
      <c r="E329" s="3" t="s">
        <v>91</v>
      </c>
      <c r="F329" s="3" t="s">
        <v>851</v>
      </c>
      <c r="G329" s="3" t="s">
        <v>852</v>
      </c>
      <c r="H329" s="4">
        <v>34760</v>
      </c>
      <c r="I329" s="6" t="s">
        <v>2300</v>
      </c>
      <c r="J329" s="6" t="s">
        <v>2482</v>
      </c>
      <c r="K329" s="6" t="s">
        <v>2875</v>
      </c>
      <c r="L329" s="6" t="s">
        <v>3243</v>
      </c>
      <c r="M329" s="9" t="s">
        <v>3600</v>
      </c>
      <c r="N329" s="5" t="str">
        <f t="shared" ref="N329" si="317">TEXT(H329,"DD-MMM-YYY")</f>
        <v>02-Mar-1995</v>
      </c>
      <c r="O329" s="6" t="s">
        <v>100</v>
      </c>
    </row>
    <row r="330" spans="1:15" x14ac:dyDescent="0.35">
      <c r="A330" s="3" t="s">
        <v>215</v>
      </c>
      <c r="B330" s="3" t="s">
        <v>102</v>
      </c>
      <c r="C330" s="3" t="s">
        <v>103</v>
      </c>
      <c r="D330" s="3" t="s">
        <v>104</v>
      </c>
      <c r="E330" s="3" t="s">
        <v>105</v>
      </c>
      <c r="F330" s="3" t="s">
        <v>853</v>
      </c>
      <c r="G330" s="3" t="s">
        <v>854</v>
      </c>
      <c r="H330" s="4">
        <v>35192</v>
      </c>
      <c r="I330" s="6" t="s">
        <v>2301</v>
      </c>
      <c r="J330" s="6" t="s">
        <v>2483</v>
      </c>
      <c r="K330" s="6" t="s">
        <v>2876</v>
      </c>
      <c r="L330" s="6" t="s">
        <v>3153</v>
      </c>
      <c r="M330" s="9" t="s">
        <v>3601</v>
      </c>
      <c r="N330" s="5" t="str">
        <f t="shared" ref="N330" si="318">TEXT(H330, "DD-MMM-YYY")</f>
        <v>07-May-1996</v>
      </c>
      <c r="O330" s="6" t="s">
        <v>3875</v>
      </c>
    </row>
    <row r="331" spans="1:15" x14ac:dyDescent="0.35">
      <c r="A331" s="3" t="s">
        <v>219</v>
      </c>
      <c r="B331" s="3" t="s">
        <v>109</v>
      </c>
      <c r="C331" s="3" t="s">
        <v>110</v>
      </c>
      <c r="D331" s="3" t="s">
        <v>111</v>
      </c>
      <c r="E331" s="3" t="s">
        <v>112</v>
      </c>
      <c r="F331" s="3" t="s">
        <v>855</v>
      </c>
      <c r="G331" s="3" t="s">
        <v>856</v>
      </c>
      <c r="H331" s="4">
        <v>35623</v>
      </c>
      <c r="I331" s="6" t="s">
        <v>2302</v>
      </c>
      <c r="J331" s="6" t="s">
        <v>2484</v>
      </c>
      <c r="K331" s="6" t="s">
        <v>2877</v>
      </c>
      <c r="L331" s="6" t="s">
        <v>3151</v>
      </c>
      <c r="M331" s="9" t="s">
        <v>3602</v>
      </c>
      <c r="N331" s="5" t="str">
        <f t="shared" ref="N331" si="319">TEXT(H331,"DD-MMM-YYY")</f>
        <v>12-Jul-1997</v>
      </c>
      <c r="O331" s="6" t="s">
        <v>3876</v>
      </c>
    </row>
    <row r="332" spans="1:15" x14ac:dyDescent="0.35">
      <c r="A332" s="3" t="s">
        <v>223</v>
      </c>
      <c r="B332" s="3" t="s">
        <v>116</v>
      </c>
      <c r="C332" s="3" t="s">
        <v>117</v>
      </c>
      <c r="D332" s="3" t="s">
        <v>118</v>
      </c>
      <c r="E332" s="3" t="s">
        <v>119</v>
      </c>
      <c r="F332" s="3" t="s">
        <v>857</v>
      </c>
      <c r="G332" s="3" t="s">
        <v>858</v>
      </c>
      <c r="H332" s="4">
        <v>36055</v>
      </c>
      <c r="I332" s="6" t="s">
        <v>2303</v>
      </c>
      <c r="J332" s="6" t="s">
        <v>2485</v>
      </c>
      <c r="K332" s="6" t="s">
        <v>2878</v>
      </c>
      <c r="L332" s="6" t="s">
        <v>3228</v>
      </c>
      <c r="M332" s="9" t="s">
        <v>3603</v>
      </c>
      <c r="N332" s="5" t="str">
        <f t="shared" ref="N332" si="320">TEXT(H332, "DD-MMM-YYY")</f>
        <v>17-Sept-1998</v>
      </c>
      <c r="O332" s="6" t="s">
        <v>3877</v>
      </c>
    </row>
    <row r="333" spans="1:15" x14ac:dyDescent="0.35">
      <c r="A333" s="3" t="s">
        <v>227</v>
      </c>
      <c r="B333" s="3" t="s">
        <v>123</v>
      </c>
      <c r="C333" s="3" t="s">
        <v>124</v>
      </c>
      <c r="D333" s="3" t="s">
        <v>125</v>
      </c>
      <c r="E333" s="3" t="s">
        <v>126</v>
      </c>
      <c r="F333" s="3" t="s">
        <v>859</v>
      </c>
      <c r="G333" s="3" t="s">
        <v>860</v>
      </c>
      <c r="H333" s="4">
        <v>36486</v>
      </c>
      <c r="I333" s="6" t="s">
        <v>2304</v>
      </c>
      <c r="J333" s="6" t="s">
        <v>2486</v>
      </c>
      <c r="K333" s="6" t="s">
        <v>2879</v>
      </c>
      <c r="L333" s="6" t="s">
        <v>3211</v>
      </c>
      <c r="M333" s="9" t="s">
        <v>3604</v>
      </c>
      <c r="N333" s="5" t="str">
        <f t="shared" ref="N333" si="321">TEXT(H333,"DD-MMM-YYY")</f>
        <v>22-Nov-1999</v>
      </c>
      <c r="O333" s="6" t="s">
        <v>3878</v>
      </c>
    </row>
    <row r="334" spans="1:15" x14ac:dyDescent="0.35">
      <c r="A334" s="3" t="s">
        <v>231</v>
      </c>
      <c r="B334" s="3" t="s">
        <v>130</v>
      </c>
      <c r="C334" s="3" t="s">
        <v>131</v>
      </c>
      <c r="D334" s="3" t="s">
        <v>132</v>
      </c>
      <c r="E334" s="3" t="s">
        <v>126</v>
      </c>
      <c r="F334" s="3" t="s">
        <v>861</v>
      </c>
      <c r="G334" s="3" t="s">
        <v>862</v>
      </c>
      <c r="H334" s="4">
        <v>31074</v>
      </c>
      <c r="I334" s="6" t="s">
        <v>2305</v>
      </c>
      <c r="J334" s="6" t="s">
        <v>2487</v>
      </c>
      <c r="K334" s="6" t="s">
        <v>2880</v>
      </c>
      <c r="L334" s="6" t="s">
        <v>3190</v>
      </c>
      <c r="M334" s="9" t="s">
        <v>3605</v>
      </c>
      <c r="N334" s="5" t="str">
        <f t="shared" ref="N334" si="322">TEXT(H334, "DD-MMM-YYY")</f>
        <v>27-Jan-1985</v>
      </c>
      <c r="O334" s="6" t="s">
        <v>3879</v>
      </c>
    </row>
    <row r="335" spans="1:15" x14ac:dyDescent="0.35">
      <c r="A335" s="3" t="s">
        <v>235</v>
      </c>
      <c r="B335" s="3" t="s">
        <v>136</v>
      </c>
      <c r="C335" s="3" t="s">
        <v>137</v>
      </c>
      <c r="D335" s="3" t="s">
        <v>138</v>
      </c>
      <c r="E335" s="3" t="s">
        <v>139</v>
      </c>
      <c r="F335" s="3" t="s">
        <v>863</v>
      </c>
      <c r="G335" s="3" t="s">
        <v>864</v>
      </c>
      <c r="H335" s="4">
        <v>31475</v>
      </c>
      <c r="I335" s="6" t="s">
        <v>2306</v>
      </c>
      <c r="J335" s="6" t="s">
        <v>1573</v>
      </c>
      <c r="K335" s="6" t="s">
        <v>2881</v>
      </c>
      <c r="L335" s="6" t="s">
        <v>3243</v>
      </c>
      <c r="M335" s="9" t="s">
        <v>3606</v>
      </c>
      <c r="N335" s="5" t="str">
        <f t="shared" ref="N335" si="323">TEXT(H335,"DD-MMM-YYY")</f>
        <v>04-Mar-1986</v>
      </c>
      <c r="O335" s="6" t="s">
        <v>3880</v>
      </c>
    </row>
    <row r="336" spans="1:15" x14ac:dyDescent="0.35">
      <c r="A336" s="3" t="s">
        <v>239</v>
      </c>
      <c r="B336" s="3" t="s">
        <v>143</v>
      </c>
      <c r="C336" s="3" t="s">
        <v>144</v>
      </c>
      <c r="D336" s="3" t="s">
        <v>145</v>
      </c>
      <c r="E336" s="3" t="s">
        <v>146</v>
      </c>
      <c r="F336" s="3" t="s">
        <v>865</v>
      </c>
      <c r="G336" s="3" t="s">
        <v>866</v>
      </c>
      <c r="H336" s="4">
        <v>31906</v>
      </c>
      <c r="I336" s="6" t="s">
        <v>2307</v>
      </c>
      <c r="J336" s="6" t="s">
        <v>2488</v>
      </c>
      <c r="K336" s="6" t="s">
        <v>2882</v>
      </c>
      <c r="L336" s="6" t="s">
        <v>3244</v>
      </c>
      <c r="M336" s="9" t="s">
        <v>3607</v>
      </c>
      <c r="N336" s="5" t="str">
        <f t="shared" ref="N336" si="324">TEXT(H336, "DD-MMM-YYY")</f>
        <v>09-May-1987</v>
      </c>
      <c r="O336" s="6" t="s">
        <v>3881</v>
      </c>
    </row>
    <row r="337" spans="1:15" x14ac:dyDescent="0.35">
      <c r="A337" s="3" t="s">
        <v>243</v>
      </c>
      <c r="B337" s="3" t="s">
        <v>150</v>
      </c>
      <c r="C337" s="3" t="s">
        <v>151</v>
      </c>
      <c r="D337" s="3" t="s">
        <v>152</v>
      </c>
      <c r="E337" s="3" t="s">
        <v>153</v>
      </c>
      <c r="F337" s="3" t="s">
        <v>867</v>
      </c>
      <c r="G337" s="3" t="s">
        <v>868</v>
      </c>
      <c r="H337" s="4">
        <v>32338</v>
      </c>
      <c r="I337" s="6" t="s">
        <v>2308</v>
      </c>
      <c r="J337" s="6" t="s">
        <v>2489</v>
      </c>
      <c r="K337" s="6" t="s">
        <v>2883</v>
      </c>
      <c r="L337" s="6" t="s">
        <v>3245</v>
      </c>
      <c r="M337" s="9" t="s">
        <v>3608</v>
      </c>
      <c r="N337" s="5" t="str">
        <f t="shared" ref="N337" si="325">TEXT(H337,"DD-MMM-YYY")</f>
        <v>14-Jul-1988</v>
      </c>
      <c r="O337" s="6" t="s">
        <v>3882</v>
      </c>
    </row>
    <row r="338" spans="1:15" x14ac:dyDescent="0.35">
      <c r="A338" s="3" t="s">
        <v>247</v>
      </c>
      <c r="B338" s="3" t="s">
        <v>157</v>
      </c>
      <c r="C338" s="3" t="s">
        <v>158</v>
      </c>
      <c r="D338" s="3" t="s">
        <v>159</v>
      </c>
      <c r="E338" s="3" t="s">
        <v>77</v>
      </c>
      <c r="F338" s="3" t="s">
        <v>869</v>
      </c>
      <c r="G338" s="3" t="s">
        <v>870</v>
      </c>
      <c r="H338" s="4">
        <v>32770</v>
      </c>
      <c r="I338" s="6" t="s">
        <v>2309</v>
      </c>
      <c r="J338" s="6" t="s">
        <v>2490</v>
      </c>
      <c r="K338" s="6" t="s">
        <v>2884</v>
      </c>
      <c r="L338" s="6" t="s">
        <v>3246</v>
      </c>
      <c r="M338" s="9" t="s">
        <v>3609</v>
      </c>
      <c r="N338" s="5" t="str">
        <f t="shared" ref="N338" si="326">TEXT(H338, "DD-MMM-YYY")</f>
        <v>19-Sept-1989</v>
      </c>
      <c r="O338" s="6" t="s">
        <v>3883</v>
      </c>
    </row>
    <row r="339" spans="1:15" x14ac:dyDescent="0.35">
      <c r="A339" s="3" t="s">
        <v>251</v>
      </c>
      <c r="B339" s="3" t="s">
        <v>163</v>
      </c>
      <c r="C339" s="3" t="s">
        <v>164</v>
      </c>
      <c r="D339" s="3" t="s">
        <v>165</v>
      </c>
      <c r="E339" s="3" t="s">
        <v>166</v>
      </c>
      <c r="F339" s="3" t="s">
        <v>871</v>
      </c>
      <c r="G339" s="3" t="s">
        <v>872</v>
      </c>
      <c r="H339" s="4">
        <v>33201</v>
      </c>
      <c r="I339" s="6" t="s">
        <v>2310</v>
      </c>
      <c r="J339" s="6" t="s">
        <v>2491</v>
      </c>
      <c r="K339" s="6" t="s">
        <v>2885</v>
      </c>
      <c r="L339" s="6" t="s">
        <v>3193</v>
      </c>
      <c r="M339" s="9" t="s">
        <v>3610</v>
      </c>
      <c r="N339" s="5" t="str">
        <f t="shared" ref="N339" si="327">TEXT(H339,"DD-MMM-YYY")</f>
        <v>24-Nov-1990</v>
      </c>
      <c r="O339" s="6" t="s">
        <v>3884</v>
      </c>
    </row>
    <row r="340" spans="1:15" x14ac:dyDescent="0.35">
      <c r="A340" s="3" t="s">
        <v>255</v>
      </c>
      <c r="B340" s="3" t="s">
        <v>170</v>
      </c>
      <c r="C340" s="3" t="s">
        <v>19</v>
      </c>
      <c r="D340" s="3" t="s">
        <v>171</v>
      </c>
      <c r="E340" s="3" t="s">
        <v>172</v>
      </c>
      <c r="F340" s="3" t="s">
        <v>873</v>
      </c>
      <c r="G340" s="3" t="s">
        <v>874</v>
      </c>
      <c r="H340" s="4">
        <v>33239</v>
      </c>
      <c r="I340" s="6" t="s">
        <v>2311</v>
      </c>
      <c r="J340" s="6" t="s">
        <v>2492</v>
      </c>
      <c r="K340" s="6" t="s">
        <v>2886</v>
      </c>
      <c r="L340" s="6" t="s">
        <v>3247</v>
      </c>
      <c r="M340" s="9" t="s">
        <v>3611</v>
      </c>
      <c r="N340" s="5" t="str">
        <f t="shared" ref="N340" si="328">TEXT(H340, "DD-MMM-YYY")</f>
        <v>01-Jan-1991</v>
      </c>
      <c r="O340" s="6" t="s">
        <v>30</v>
      </c>
    </row>
    <row r="341" spans="1:15" x14ac:dyDescent="0.35">
      <c r="A341" s="3" t="s">
        <v>259</v>
      </c>
      <c r="B341" s="3" t="s">
        <v>176</v>
      </c>
      <c r="C341" s="3" t="s">
        <v>33</v>
      </c>
      <c r="D341" s="3" t="s">
        <v>162</v>
      </c>
      <c r="E341" s="3" t="s">
        <v>63</v>
      </c>
      <c r="F341" s="3" t="s">
        <v>875</v>
      </c>
      <c r="G341" s="3" t="s">
        <v>876</v>
      </c>
      <c r="H341" s="4">
        <v>33669</v>
      </c>
      <c r="I341" s="6" t="s">
        <v>2312</v>
      </c>
      <c r="J341" s="6" t="s">
        <v>2493</v>
      </c>
      <c r="K341" s="6" t="s">
        <v>2887</v>
      </c>
      <c r="L341" s="6" t="s">
        <v>3248</v>
      </c>
      <c r="M341" s="9" t="s">
        <v>3612</v>
      </c>
      <c r="N341" s="5" t="str">
        <f t="shared" ref="N341" si="329">TEXT(H341,"DD-MMM-YYY")</f>
        <v>06-Mar-1992</v>
      </c>
      <c r="O341" s="6" t="s">
        <v>44</v>
      </c>
    </row>
    <row r="342" spans="1:15" x14ac:dyDescent="0.35">
      <c r="A342" s="3" t="s">
        <v>263</v>
      </c>
      <c r="B342" s="3" t="s">
        <v>180</v>
      </c>
      <c r="C342" s="3" t="s">
        <v>47</v>
      </c>
      <c r="D342" s="3" t="s">
        <v>181</v>
      </c>
      <c r="E342" s="3" t="s">
        <v>182</v>
      </c>
      <c r="F342" s="3" t="s">
        <v>877</v>
      </c>
      <c r="G342" s="3" t="s">
        <v>878</v>
      </c>
      <c r="H342" s="4">
        <v>34100</v>
      </c>
      <c r="I342" s="6" t="s">
        <v>2313</v>
      </c>
      <c r="J342" s="6" t="s">
        <v>2494</v>
      </c>
      <c r="K342" s="6" t="s">
        <v>2888</v>
      </c>
      <c r="L342" s="6" t="s">
        <v>3249</v>
      </c>
      <c r="M342" s="9" t="s">
        <v>3613</v>
      </c>
      <c r="N342" s="5" t="str">
        <f t="shared" ref="N342" si="330">TEXT(H342, "DD-MMM-YYY")</f>
        <v>11-May-1993</v>
      </c>
      <c r="O342" s="6" t="s">
        <v>58</v>
      </c>
    </row>
    <row r="343" spans="1:15" x14ac:dyDescent="0.35">
      <c r="A343" s="3" t="s">
        <v>267</v>
      </c>
      <c r="B343" s="3" t="s">
        <v>186</v>
      </c>
      <c r="C343" s="3" t="s">
        <v>61</v>
      </c>
      <c r="D343" s="3" t="s">
        <v>187</v>
      </c>
      <c r="E343" s="3" t="s">
        <v>188</v>
      </c>
      <c r="F343" s="3" t="s">
        <v>879</v>
      </c>
      <c r="G343" s="3" t="s">
        <v>880</v>
      </c>
      <c r="H343" s="4">
        <v>34531</v>
      </c>
      <c r="I343" s="6" t="s">
        <v>2314</v>
      </c>
      <c r="J343" s="6" t="s">
        <v>2495</v>
      </c>
      <c r="K343" s="6" t="s">
        <v>2889</v>
      </c>
      <c r="L343" s="6" t="s">
        <v>3250</v>
      </c>
      <c r="M343" s="9" t="s">
        <v>3614</v>
      </c>
      <c r="N343" s="5" t="str">
        <f t="shared" ref="N343" si="331">TEXT(H343,"DD-MMM-YYY")</f>
        <v>16-Jul-1994</v>
      </c>
      <c r="O343" s="6" t="s">
        <v>72</v>
      </c>
    </row>
    <row r="344" spans="1:15" x14ac:dyDescent="0.35">
      <c r="A344" s="3" t="s">
        <v>271</v>
      </c>
      <c r="B344" s="3" t="s">
        <v>192</v>
      </c>
      <c r="C344" s="3" t="s">
        <v>75</v>
      </c>
      <c r="D344" s="3" t="s">
        <v>20</v>
      </c>
      <c r="E344" s="3" t="s">
        <v>21</v>
      </c>
      <c r="F344" s="3" t="s">
        <v>881</v>
      </c>
      <c r="G344" s="3" t="s">
        <v>882</v>
      </c>
      <c r="H344" s="4">
        <v>34963</v>
      </c>
      <c r="I344" s="6" t="s">
        <v>2315</v>
      </c>
      <c r="J344" s="6" t="s">
        <v>2496</v>
      </c>
      <c r="K344" s="6" t="s">
        <v>2890</v>
      </c>
      <c r="L344" s="6" t="s">
        <v>3232</v>
      </c>
      <c r="M344" s="9" t="s">
        <v>3615</v>
      </c>
      <c r="N344" s="5" t="str">
        <f t="shared" ref="N344" si="332">TEXT(H344, "DD-MMM-YYY")</f>
        <v>21-Sept-1995</v>
      </c>
      <c r="O344" s="6" t="s">
        <v>86</v>
      </c>
    </row>
    <row r="345" spans="1:15" x14ac:dyDescent="0.35">
      <c r="A345" s="3" t="s">
        <v>274</v>
      </c>
      <c r="B345" s="3" t="s">
        <v>196</v>
      </c>
      <c r="C345" s="3" t="s">
        <v>89</v>
      </c>
      <c r="D345" s="3" t="s">
        <v>34</v>
      </c>
      <c r="E345" s="3" t="s">
        <v>35</v>
      </c>
      <c r="F345" s="3" t="s">
        <v>883</v>
      </c>
      <c r="G345" s="3" t="s">
        <v>884</v>
      </c>
      <c r="H345" s="4">
        <v>35395</v>
      </c>
      <c r="I345" s="6" t="s">
        <v>2316</v>
      </c>
      <c r="J345" s="6" t="s">
        <v>1702</v>
      </c>
      <c r="K345" s="6" t="s">
        <v>2891</v>
      </c>
      <c r="L345" s="6" t="s">
        <v>3251</v>
      </c>
      <c r="M345" s="9" t="s">
        <v>3616</v>
      </c>
      <c r="N345" s="5" t="str">
        <f t="shared" ref="N345" si="333">TEXT(H345,"DD-MMM-YYY")</f>
        <v>26-Nov-1996</v>
      </c>
      <c r="O345" s="6" t="s">
        <v>100</v>
      </c>
    </row>
    <row r="346" spans="1:15" x14ac:dyDescent="0.35">
      <c r="A346" s="3" t="s">
        <v>277</v>
      </c>
      <c r="B346" s="3" t="s">
        <v>200</v>
      </c>
      <c r="C346" s="3" t="s">
        <v>103</v>
      </c>
      <c r="D346" s="3" t="s">
        <v>48</v>
      </c>
      <c r="E346" s="3" t="s">
        <v>49</v>
      </c>
      <c r="F346" s="3" t="s">
        <v>885</v>
      </c>
      <c r="G346" s="3" t="s">
        <v>886</v>
      </c>
      <c r="H346" s="4">
        <v>35433</v>
      </c>
      <c r="I346" s="6" t="s">
        <v>2317</v>
      </c>
      <c r="J346" s="6" t="s">
        <v>2497</v>
      </c>
      <c r="K346" s="6" t="s">
        <v>2892</v>
      </c>
      <c r="L346" s="6" t="s">
        <v>3252</v>
      </c>
      <c r="M346" s="9" t="s">
        <v>3617</v>
      </c>
      <c r="N346" s="5" t="str">
        <f t="shared" ref="N346" si="334">TEXT(H346, "DD-MMM-YYY")</f>
        <v>03-Jan-1997</v>
      </c>
      <c r="O346" s="6" t="s">
        <v>3875</v>
      </c>
    </row>
    <row r="347" spans="1:15" x14ac:dyDescent="0.35">
      <c r="A347" s="3" t="s">
        <v>280</v>
      </c>
      <c r="B347" s="3" t="s">
        <v>204</v>
      </c>
      <c r="C347" s="3" t="s">
        <v>110</v>
      </c>
      <c r="D347" s="3" t="s">
        <v>62</v>
      </c>
      <c r="E347" s="3" t="s">
        <v>63</v>
      </c>
      <c r="F347" s="3" t="s">
        <v>887</v>
      </c>
      <c r="G347" s="3" t="s">
        <v>888</v>
      </c>
      <c r="H347" s="4">
        <v>35862</v>
      </c>
      <c r="I347" s="6" t="s">
        <v>2318</v>
      </c>
      <c r="J347" s="6" t="s">
        <v>2498</v>
      </c>
      <c r="K347" s="6" t="s">
        <v>2893</v>
      </c>
      <c r="L347" s="6" t="s">
        <v>3253</v>
      </c>
      <c r="M347" s="9" t="s">
        <v>3618</v>
      </c>
      <c r="N347" s="5" t="str">
        <f t="shared" ref="N347" si="335">TEXT(H347,"DD-MMM-YYY")</f>
        <v>08-Mar-1998</v>
      </c>
      <c r="O347" s="6" t="s">
        <v>3876</v>
      </c>
    </row>
    <row r="348" spans="1:15" x14ac:dyDescent="0.35">
      <c r="A348" s="3" t="s">
        <v>283</v>
      </c>
      <c r="B348" s="3" t="s">
        <v>208</v>
      </c>
      <c r="C348" s="3" t="s">
        <v>117</v>
      </c>
      <c r="D348" s="3" t="s">
        <v>76</v>
      </c>
      <c r="E348" s="3" t="s">
        <v>77</v>
      </c>
      <c r="F348" s="3" t="s">
        <v>889</v>
      </c>
      <c r="G348" s="3" t="s">
        <v>890</v>
      </c>
      <c r="H348" s="4">
        <v>36293</v>
      </c>
      <c r="I348" s="6" t="s">
        <v>2319</v>
      </c>
      <c r="J348" s="6" t="s">
        <v>2499</v>
      </c>
      <c r="K348" s="6" t="s">
        <v>2894</v>
      </c>
      <c r="L348" s="6" t="s">
        <v>3254</v>
      </c>
      <c r="M348" s="9" t="s">
        <v>3619</v>
      </c>
      <c r="N348" s="5" t="str">
        <f t="shared" ref="N348" si="336">TEXT(H348, "DD-MMM-YYY")</f>
        <v>13-May-1999</v>
      </c>
      <c r="O348" s="6" t="s">
        <v>3877</v>
      </c>
    </row>
    <row r="349" spans="1:15" x14ac:dyDescent="0.35">
      <c r="A349" s="3" t="s">
        <v>286</v>
      </c>
      <c r="B349" s="3" t="s">
        <v>212</v>
      </c>
      <c r="C349" s="3" t="s">
        <v>124</v>
      </c>
      <c r="D349" s="3" t="s">
        <v>90</v>
      </c>
      <c r="E349" s="3" t="s">
        <v>91</v>
      </c>
      <c r="F349" s="3" t="s">
        <v>891</v>
      </c>
      <c r="G349" s="3" t="s">
        <v>892</v>
      </c>
      <c r="H349" s="4">
        <v>31246</v>
      </c>
      <c r="I349" s="6" t="s">
        <v>2320</v>
      </c>
      <c r="J349" s="6" t="s">
        <v>2500</v>
      </c>
      <c r="K349" s="6" t="s">
        <v>2895</v>
      </c>
      <c r="L349" s="6" t="s">
        <v>3165</v>
      </c>
      <c r="M349" s="9" t="s">
        <v>3620</v>
      </c>
      <c r="N349" s="5" t="str">
        <f t="shared" ref="N349" si="337">TEXT(H349,"DD-MMM-YYY")</f>
        <v>18-Jul-1985</v>
      </c>
      <c r="O349" s="6" t="s">
        <v>3878</v>
      </c>
    </row>
    <row r="350" spans="1:15" x14ac:dyDescent="0.35">
      <c r="A350" s="3" t="s">
        <v>289</v>
      </c>
      <c r="B350" s="3" t="s">
        <v>216</v>
      </c>
      <c r="C350" s="3" t="s">
        <v>131</v>
      </c>
      <c r="D350" s="3" t="s">
        <v>104</v>
      </c>
      <c r="E350" s="3" t="s">
        <v>105</v>
      </c>
      <c r="F350" s="3" t="s">
        <v>893</v>
      </c>
      <c r="G350" s="3" t="s">
        <v>894</v>
      </c>
      <c r="H350" s="4">
        <v>31678</v>
      </c>
      <c r="I350" s="6" t="s">
        <v>2321</v>
      </c>
      <c r="J350" s="6" t="s">
        <v>2501</v>
      </c>
      <c r="K350" s="6" t="s">
        <v>2896</v>
      </c>
      <c r="L350" s="6" t="s">
        <v>3155</v>
      </c>
      <c r="M350" s="9" t="s">
        <v>3621</v>
      </c>
      <c r="N350" s="5" t="str">
        <f t="shared" ref="N350" si="338">TEXT(H350, "DD-MMM-YYY")</f>
        <v>23-Sept-1986</v>
      </c>
      <c r="O350" s="6" t="s">
        <v>3879</v>
      </c>
    </row>
    <row r="351" spans="1:15" x14ac:dyDescent="0.35">
      <c r="A351" s="3" t="s">
        <v>292</v>
      </c>
      <c r="B351" s="3" t="s">
        <v>220</v>
      </c>
      <c r="C351" s="3" t="s">
        <v>137</v>
      </c>
      <c r="D351" s="3" t="s">
        <v>111</v>
      </c>
      <c r="E351" s="3" t="s">
        <v>112</v>
      </c>
      <c r="F351" s="3" t="s">
        <v>895</v>
      </c>
      <c r="G351" s="3" t="s">
        <v>896</v>
      </c>
      <c r="H351" s="4">
        <v>32109</v>
      </c>
      <c r="I351" s="6" t="s">
        <v>2322</v>
      </c>
      <c r="J351" s="6" t="s">
        <v>2502</v>
      </c>
      <c r="K351" s="6" t="s">
        <v>2897</v>
      </c>
      <c r="L351" s="6" t="s">
        <v>3255</v>
      </c>
      <c r="M351" s="9" t="s">
        <v>3622</v>
      </c>
      <c r="N351" s="5" t="str">
        <f t="shared" ref="N351" si="339">TEXT(H351,"DD-MMM-YYY")</f>
        <v>28-Nov-1987</v>
      </c>
      <c r="O351" s="6" t="s">
        <v>3880</v>
      </c>
    </row>
    <row r="352" spans="1:15" x14ac:dyDescent="0.35">
      <c r="A352" s="3" t="s">
        <v>295</v>
      </c>
      <c r="B352" s="3" t="s">
        <v>224</v>
      </c>
      <c r="C352" s="3" t="s">
        <v>144</v>
      </c>
      <c r="D352" s="3" t="s">
        <v>118</v>
      </c>
      <c r="E352" s="3" t="s">
        <v>119</v>
      </c>
      <c r="F352" s="3" t="s">
        <v>897</v>
      </c>
      <c r="G352" s="3" t="s">
        <v>898</v>
      </c>
      <c r="H352" s="4">
        <v>32147</v>
      </c>
      <c r="I352" s="6" t="s">
        <v>2323</v>
      </c>
      <c r="J352" s="6" t="s">
        <v>2503</v>
      </c>
      <c r="K352" s="6" t="s">
        <v>2898</v>
      </c>
      <c r="L352" s="6" t="s">
        <v>3172</v>
      </c>
      <c r="M352" s="9" t="s">
        <v>3623</v>
      </c>
      <c r="N352" s="5" t="str">
        <f t="shared" ref="N352" si="340">TEXT(H352, "DD-MMM-YYY")</f>
        <v>05-Jan-1988</v>
      </c>
      <c r="O352" s="6" t="s">
        <v>3881</v>
      </c>
    </row>
    <row r="353" spans="1:15" x14ac:dyDescent="0.35">
      <c r="A353" s="3" t="s">
        <v>298</v>
      </c>
      <c r="B353" s="3" t="s">
        <v>228</v>
      </c>
      <c r="C353" s="3" t="s">
        <v>151</v>
      </c>
      <c r="D353" s="3" t="s">
        <v>125</v>
      </c>
      <c r="E353" s="3" t="s">
        <v>126</v>
      </c>
      <c r="F353" s="3" t="s">
        <v>899</v>
      </c>
      <c r="G353" s="3" t="s">
        <v>900</v>
      </c>
      <c r="H353" s="4">
        <v>32577</v>
      </c>
      <c r="I353" s="6" t="s">
        <v>2324</v>
      </c>
      <c r="J353" s="6" t="s">
        <v>2504</v>
      </c>
      <c r="K353" s="6" t="s">
        <v>2899</v>
      </c>
      <c r="L353" s="6" t="s">
        <v>3162</v>
      </c>
      <c r="M353" s="9" t="s">
        <v>3624</v>
      </c>
      <c r="N353" s="5" t="str">
        <f t="shared" ref="N353" si="341">TEXT(H353,"DD-MMM-YYY")</f>
        <v>10-Mar-1989</v>
      </c>
      <c r="O353" s="6" t="s">
        <v>3882</v>
      </c>
    </row>
    <row r="354" spans="1:15" x14ac:dyDescent="0.35">
      <c r="A354" s="3" t="s">
        <v>17</v>
      </c>
      <c r="B354" s="3" t="s">
        <v>232</v>
      </c>
      <c r="C354" s="3" t="s">
        <v>158</v>
      </c>
      <c r="D354" s="3" t="s">
        <v>132</v>
      </c>
      <c r="E354" s="3" t="s">
        <v>126</v>
      </c>
      <c r="F354" s="3" t="s">
        <v>901</v>
      </c>
      <c r="G354" s="3" t="s">
        <v>902</v>
      </c>
      <c r="H354" s="4">
        <v>33008</v>
      </c>
      <c r="I354" s="6" t="s">
        <v>2325</v>
      </c>
      <c r="J354" s="6" t="s">
        <v>2505</v>
      </c>
      <c r="K354" s="6" t="s">
        <v>2900</v>
      </c>
      <c r="L354" s="6" t="s">
        <v>3170</v>
      </c>
      <c r="M354" s="9" t="s">
        <v>3625</v>
      </c>
      <c r="N354" s="5" t="str">
        <f t="shared" ref="N354" si="342">TEXT(H354, "DD-MMM-YYY")</f>
        <v>15-May-1990</v>
      </c>
      <c r="O354" s="6" t="s">
        <v>3883</v>
      </c>
    </row>
    <row r="355" spans="1:15" x14ac:dyDescent="0.35">
      <c r="A355" s="3" t="s">
        <v>31</v>
      </c>
      <c r="B355" s="3" t="s">
        <v>236</v>
      </c>
      <c r="C355" s="3" t="s">
        <v>164</v>
      </c>
      <c r="D355" s="3" t="s">
        <v>138</v>
      </c>
      <c r="E355" s="3" t="s">
        <v>139</v>
      </c>
      <c r="F355" s="3" t="s">
        <v>903</v>
      </c>
      <c r="G355" s="3" t="s">
        <v>904</v>
      </c>
      <c r="H355" s="4">
        <v>33439</v>
      </c>
      <c r="I355" s="6" t="s">
        <v>2326</v>
      </c>
      <c r="J355" s="6" t="s">
        <v>1633</v>
      </c>
      <c r="K355" s="6" t="s">
        <v>2901</v>
      </c>
      <c r="L355" s="6" t="s">
        <v>3256</v>
      </c>
      <c r="M355" s="9" t="s">
        <v>3626</v>
      </c>
      <c r="N355" s="5" t="str">
        <f t="shared" ref="N355" si="343">TEXT(H355,"DD-MMM-YYY")</f>
        <v>20-Jul-1991</v>
      </c>
      <c r="O355" s="6" t="s">
        <v>3884</v>
      </c>
    </row>
    <row r="356" spans="1:15" x14ac:dyDescent="0.35">
      <c r="A356" s="3" t="s">
        <v>45</v>
      </c>
      <c r="B356" s="3" t="s">
        <v>240</v>
      </c>
      <c r="C356" s="3" t="s">
        <v>19</v>
      </c>
      <c r="D356" s="3" t="s">
        <v>145</v>
      </c>
      <c r="E356" s="3" t="s">
        <v>146</v>
      </c>
      <c r="F356" s="3" t="s">
        <v>905</v>
      </c>
      <c r="G356" s="3" t="s">
        <v>906</v>
      </c>
      <c r="H356" s="4">
        <v>33872</v>
      </c>
      <c r="I356" s="6" t="s">
        <v>2327</v>
      </c>
      <c r="J356" s="6" t="s">
        <v>2506</v>
      </c>
      <c r="K356" s="6" t="s">
        <v>2902</v>
      </c>
      <c r="L356" s="6" t="s">
        <v>3168</v>
      </c>
      <c r="M356" s="9" t="s">
        <v>3627</v>
      </c>
      <c r="N356" s="5" t="str">
        <f t="shared" ref="N356" si="344">TEXT(H356, "DD-MMM-YYY")</f>
        <v>25-Sept-1992</v>
      </c>
      <c r="O356" s="6" t="s">
        <v>30</v>
      </c>
    </row>
    <row r="357" spans="1:15" x14ac:dyDescent="0.35">
      <c r="A357" s="3" t="s">
        <v>59</v>
      </c>
      <c r="B357" s="3" t="s">
        <v>244</v>
      </c>
      <c r="C357" s="3" t="s">
        <v>33</v>
      </c>
      <c r="D357" s="3" t="s">
        <v>152</v>
      </c>
      <c r="E357" s="3" t="s">
        <v>153</v>
      </c>
      <c r="F357" s="3" t="s">
        <v>907</v>
      </c>
      <c r="G357" s="3" t="s">
        <v>908</v>
      </c>
      <c r="H357" s="4">
        <v>34275</v>
      </c>
      <c r="I357" s="6" t="s">
        <v>2328</v>
      </c>
      <c r="J357" s="6" t="s">
        <v>2507</v>
      </c>
      <c r="K357" s="6" t="s">
        <v>2903</v>
      </c>
      <c r="L357" s="6" t="s">
        <v>3235</v>
      </c>
      <c r="M357" s="9" t="s">
        <v>3628</v>
      </c>
      <c r="N357" s="5" t="str">
        <f t="shared" ref="N357" si="345">TEXT(H357,"DD-MMM-YYY")</f>
        <v>02-Nov-1993</v>
      </c>
      <c r="O357" s="6" t="s">
        <v>44</v>
      </c>
    </row>
    <row r="358" spans="1:15" x14ac:dyDescent="0.35">
      <c r="A358" s="3" t="s">
        <v>73</v>
      </c>
      <c r="B358" s="3" t="s">
        <v>248</v>
      </c>
      <c r="C358" s="3" t="s">
        <v>47</v>
      </c>
      <c r="D358" s="3" t="s">
        <v>159</v>
      </c>
      <c r="E358" s="3" t="s">
        <v>77</v>
      </c>
      <c r="F358" s="3" t="s">
        <v>909</v>
      </c>
      <c r="G358" s="3" t="s">
        <v>910</v>
      </c>
      <c r="H358" s="4">
        <v>34341</v>
      </c>
      <c r="I358" s="6" t="s">
        <v>2329</v>
      </c>
      <c r="J358" s="6" t="s">
        <v>2508</v>
      </c>
      <c r="K358" s="6" t="s">
        <v>2904</v>
      </c>
      <c r="L358" s="6" t="s">
        <v>3257</v>
      </c>
      <c r="M358" s="9" t="s">
        <v>3629</v>
      </c>
      <c r="N358" s="5" t="str">
        <f t="shared" ref="N358" si="346">TEXT(H358, "DD-MMM-YYY")</f>
        <v>07-Jan-1994</v>
      </c>
      <c r="O358" s="6" t="s">
        <v>58</v>
      </c>
    </row>
    <row r="359" spans="1:15" x14ac:dyDescent="0.35">
      <c r="A359" s="3" t="s">
        <v>87</v>
      </c>
      <c r="B359" s="3" t="s">
        <v>252</v>
      </c>
      <c r="C359" s="3" t="s">
        <v>61</v>
      </c>
      <c r="D359" s="3" t="s">
        <v>165</v>
      </c>
      <c r="E359" s="3" t="s">
        <v>166</v>
      </c>
      <c r="F359" s="3" t="s">
        <v>911</v>
      </c>
      <c r="G359" s="3" t="s">
        <v>912</v>
      </c>
      <c r="H359" s="4">
        <v>34770</v>
      </c>
      <c r="I359" s="6" t="s">
        <v>2330</v>
      </c>
      <c r="J359" s="6" t="s">
        <v>2509</v>
      </c>
      <c r="K359" s="6" t="s">
        <v>2905</v>
      </c>
      <c r="L359" s="6" t="s">
        <v>3258</v>
      </c>
      <c r="M359" s="9" t="s">
        <v>3630</v>
      </c>
      <c r="N359" s="5" t="str">
        <f t="shared" ref="N359" si="347">TEXT(H359,"DD-MMM-YYY")</f>
        <v>12-Mar-1995</v>
      </c>
      <c r="O359" s="6" t="s">
        <v>72</v>
      </c>
    </row>
    <row r="360" spans="1:15" x14ac:dyDescent="0.35">
      <c r="A360" s="3" t="s">
        <v>101</v>
      </c>
      <c r="B360" s="3" t="s">
        <v>256</v>
      </c>
      <c r="C360" s="3" t="s">
        <v>75</v>
      </c>
      <c r="D360" s="3" t="s">
        <v>171</v>
      </c>
      <c r="E360" s="3" t="s">
        <v>172</v>
      </c>
      <c r="F360" s="3" t="s">
        <v>913</v>
      </c>
      <c r="G360" s="3" t="s">
        <v>914</v>
      </c>
      <c r="H360" s="4">
        <v>35202</v>
      </c>
      <c r="I360" s="6" t="s">
        <v>2331</v>
      </c>
      <c r="J360" s="6" t="s">
        <v>2510</v>
      </c>
      <c r="K360" s="6" t="s">
        <v>2906</v>
      </c>
      <c r="L360" s="6" t="s">
        <v>3259</v>
      </c>
      <c r="M360" s="9" t="s">
        <v>3631</v>
      </c>
      <c r="N360" s="5" t="str">
        <f t="shared" ref="N360" si="348">TEXT(H360, "DD-MMM-YYY")</f>
        <v>17-May-1996</v>
      </c>
      <c r="O360" s="6" t="s">
        <v>86</v>
      </c>
    </row>
    <row r="361" spans="1:15" x14ac:dyDescent="0.35">
      <c r="A361" s="3" t="s">
        <v>108</v>
      </c>
      <c r="B361" s="3" t="s">
        <v>260</v>
      </c>
      <c r="C361" s="3" t="s">
        <v>89</v>
      </c>
      <c r="D361" s="3" t="s">
        <v>162</v>
      </c>
      <c r="E361" s="3" t="s">
        <v>63</v>
      </c>
      <c r="F361" s="3" t="s">
        <v>915</v>
      </c>
      <c r="G361" s="3" t="s">
        <v>916</v>
      </c>
      <c r="H361" s="4">
        <v>35633</v>
      </c>
      <c r="I361" s="6" t="s">
        <v>2332</v>
      </c>
      <c r="J361" s="6" t="s">
        <v>2511</v>
      </c>
      <c r="K361" s="6" t="s">
        <v>2907</v>
      </c>
      <c r="L361" s="6" t="s">
        <v>3209</v>
      </c>
      <c r="M361" s="9" t="s">
        <v>3632</v>
      </c>
      <c r="N361" s="5" t="str">
        <f t="shared" ref="N361" si="349">TEXT(H361,"DD-MMM-YYY")</f>
        <v>22-Jul-1997</v>
      </c>
      <c r="O361" s="6" t="s">
        <v>100</v>
      </c>
    </row>
    <row r="362" spans="1:15" x14ac:dyDescent="0.35">
      <c r="A362" s="3" t="s">
        <v>115</v>
      </c>
      <c r="B362" s="3" t="s">
        <v>264</v>
      </c>
      <c r="C362" s="3" t="s">
        <v>103</v>
      </c>
      <c r="D362" s="3" t="s">
        <v>181</v>
      </c>
      <c r="E362" s="3" t="s">
        <v>182</v>
      </c>
      <c r="F362" s="3" t="s">
        <v>917</v>
      </c>
      <c r="G362" s="3" t="s">
        <v>918</v>
      </c>
      <c r="H362" s="4">
        <v>36065</v>
      </c>
      <c r="I362" s="6" t="s">
        <v>2333</v>
      </c>
      <c r="J362" s="6" t="s">
        <v>2512</v>
      </c>
      <c r="K362" s="6" t="s">
        <v>2908</v>
      </c>
      <c r="L362" s="6" t="s">
        <v>3260</v>
      </c>
      <c r="M362" s="9" t="s">
        <v>3633</v>
      </c>
      <c r="N362" s="5" t="str">
        <f t="shared" ref="N362" si="350">TEXT(H362, "DD-MMM-YYY")</f>
        <v>27-Sept-1998</v>
      </c>
      <c r="O362" s="6" t="s">
        <v>3875</v>
      </c>
    </row>
    <row r="363" spans="1:15" x14ac:dyDescent="0.35">
      <c r="A363" s="3" t="s">
        <v>122</v>
      </c>
      <c r="B363" s="3" t="s">
        <v>268</v>
      </c>
      <c r="C363" s="3" t="s">
        <v>110</v>
      </c>
      <c r="D363" s="3" t="s">
        <v>187</v>
      </c>
      <c r="E363" s="3" t="s">
        <v>188</v>
      </c>
      <c r="F363" s="3" t="s">
        <v>919</v>
      </c>
      <c r="G363" s="3" t="s">
        <v>920</v>
      </c>
      <c r="H363" s="4">
        <v>36468</v>
      </c>
      <c r="I363" s="6" t="s">
        <v>2334</v>
      </c>
      <c r="J363" s="6" t="s">
        <v>2513</v>
      </c>
      <c r="K363" s="6" t="s">
        <v>2909</v>
      </c>
      <c r="L363" s="6" t="s">
        <v>3153</v>
      </c>
      <c r="M363" s="9" t="s">
        <v>3634</v>
      </c>
      <c r="N363" s="5" t="str">
        <f t="shared" ref="N363" si="351">TEXT(H363,"DD-MMM-YYY")</f>
        <v>04-Nov-1999</v>
      </c>
      <c r="O363" s="6" t="s">
        <v>3876</v>
      </c>
    </row>
    <row r="364" spans="1:15" x14ac:dyDescent="0.35">
      <c r="A364" s="3" t="s">
        <v>129</v>
      </c>
      <c r="B364" s="3" t="s">
        <v>18</v>
      </c>
      <c r="C364" s="3" t="s">
        <v>117</v>
      </c>
      <c r="D364" s="3" t="s">
        <v>20</v>
      </c>
      <c r="E364" s="3" t="s">
        <v>21</v>
      </c>
      <c r="F364" s="3" t="s">
        <v>921</v>
      </c>
      <c r="G364" s="3" t="s">
        <v>922</v>
      </c>
      <c r="H364" s="4">
        <v>31056</v>
      </c>
      <c r="I364" s="6" t="s">
        <v>2335</v>
      </c>
      <c r="J364" s="6" t="s">
        <v>2514</v>
      </c>
      <c r="K364" s="6" t="s">
        <v>2910</v>
      </c>
      <c r="L364" s="6" t="s">
        <v>3241</v>
      </c>
      <c r="M364" s="9" t="s">
        <v>3635</v>
      </c>
      <c r="N364" s="5" t="str">
        <f t="shared" ref="N364" si="352">TEXT(H364, "DD-MMM-YYY")</f>
        <v>09-Jan-1985</v>
      </c>
      <c r="O364" s="6" t="s">
        <v>3877</v>
      </c>
    </row>
    <row r="365" spans="1:15" x14ac:dyDescent="0.35">
      <c r="A365" s="3" t="s">
        <v>135</v>
      </c>
      <c r="B365" s="3" t="s">
        <v>32</v>
      </c>
      <c r="C365" s="3" t="s">
        <v>124</v>
      </c>
      <c r="D365" s="3" t="s">
        <v>34</v>
      </c>
      <c r="E365" s="3" t="s">
        <v>35</v>
      </c>
      <c r="F365" s="3" t="s">
        <v>923</v>
      </c>
      <c r="G365" s="3" t="s">
        <v>924</v>
      </c>
      <c r="H365" s="4">
        <v>31485</v>
      </c>
      <c r="I365" s="6" t="s">
        <v>2336</v>
      </c>
      <c r="J365" s="6" t="s">
        <v>1561</v>
      </c>
      <c r="K365" s="6" t="s">
        <v>2911</v>
      </c>
      <c r="L365" s="6" t="s">
        <v>3261</v>
      </c>
      <c r="M365" s="9" t="s">
        <v>3636</v>
      </c>
      <c r="N365" s="5" t="str">
        <f t="shared" ref="N365" si="353">TEXT(H365,"DD-MMM-YYY")</f>
        <v>14-Mar-1986</v>
      </c>
      <c r="O365" s="6" t="s">
        <v>3878</v>
      </c>
    </row>
    <row r="366" spans="1:15" x14ac:dyDescent="0.35">
      <c r="A366" s="3" t="s">
        <v>142</v>
      </c>
      <c r="B366" s="3" t="s">
        <v>46</v>
      </c>
      <c r="C366" s="3" t="s">
        <v>131</v>
      </c>
      <c r="D366" s="3" t="s">
        <v>48</v>
      </c>
      <c r="E366" s="3" t="s">
        <v>49</v>
      </c>
      <c r="F366" s="3" t="s">
        <v>925</v>
      </c>
      <c r="G366" s="3" t="s">
        <v>926</v>
      </c>
      <c r="H366" s="4">
        <v>31916</v>
      </c>
      <c r="I366" s="6" t="s">
        <v>2337</v>
      </c>
      <c r="J366" s="6" t="s">
        <v>2515</v>
      </c>
      <c r="K366" s="6" t="s">
        <v>2912</v>
      </c>
      <c r="L366" s="6" t="s">
        <v>3262</v>
      </c>
      <c r="M366" s="9" t="s">
        <v>3637</v>
      </c>
      <c r="N366" s="5" t="str">
        <f t="shared" ref="N366" si="354">TEXT(H366, "DD-MMM-YYY")</f>
        <v>19-May-1987</v>
      </c>
      <c r="O366" s="6" t="s">
        <v>3879</v>
      </c>
    </row>
    <row r="367" spans="1:15" x14ac:dyDescent="0.35">
      <c r="A367" s="3" t="s">
        <v>149</v>
      </c>
      <c r="B367" s="3" t="s">
        <v>60</v>
      </c>
      <c r="C367" s="3" t="s">
        <v>137</v>
      </c>
      <c r="D367" s="3" t="s">
        <v>62</v>
      </c>
      <c r="E367" s="3" t="s">
        <v>63</v>
      </c>
      <c r="F367" s="3" t="s">
        <v>927</v>
      </c>
      <c r="G367" s="3" t="s">
        <v>928</v>
      </c>
      <c r="H367" s="4">
        <v>32348</v>
      </c>
      <c r="I367" s="6" t="s">
        <v>2338</v>
      </c>
      <c r="J367" s="6" t="s">
        <v>2516</v>
      </c>
      <c r="K367" s="6" t="s">
        <v>2913</v>
      </c>
      <c r="L367" s="6" t="s">
        <v>69</v>
      </c>
      <c r="M367" s="9" t="s">
        <v>3638</v>
      </c>
      <c r="N367" s="5" t="str">
        <f t="shared" ref="N367" si="355">TEXT(H367,"DD-MMM-YYY")</f>
        <v>24-Jul-1988</v>
      </c>
      <c r="O367" s="6" t="s">
        <v>3880</v>
      </c>
    </row>
    <row r="368" spans="1:15" x14ac:dyDescent="0.35">
      <c r="A368" s="3" t="s">
        <v>156</v>
      </c>
      <c r="B368" s="3" t="s">
        <v>74</v>
      </c>
      <c r="C368" s="3" t="s">
        <v>144</v>
      </c>
      <c r="D368" s="3" t="s">
        <v>76</v>
      </c>
      <c r="E368" s="3" t="s">
        <v>77</v>
      </c>
      <c r="F368" s="3" t="s">
        <v>929</v>
      </c>
      <c r="G368" s="3" t="s">
        <v>930</v>
      </c>
      <c r="H368" s="4">
        <v>32752</v>
      </c>
      <c r="I368" s="6" t="s">
        <v>2339</v>
      </c>
      <c r="J368" s="6" t="s">
        <v>2517</v>
      </c>
      <c r="K368" s="6" t="s">
        <v>2914</v>
      </c>
      <c r="L368" s="6" t="s">
        <v>3263</v>
      </c>
      <c r="M368" s="9" t="s">
        <v>3639</v>
      </c>
      <c r="N368" s="5" t="str">
        <f t="shared" ref="N368" si="356">TEXT(H368, "DD-MMM-YYY")</f>
        <v>01-Sept-1989</v>
      </c>
      <c r="O368" s="6" t="s">
        <v>3881</v>
      </c>
    </row>
    <row r="369" spans="1:15" x14ac:dyDescent="0.35">
      <c r="A369" s="3" t="s">
        <v>162</v>
      </c>
      <c r="B369" s="3" t="s">
        <v>88</v>
      </c>
      <c r="C369" s="3" t="s">
        <v>151</v>
      </c>
      <c r="D369" s="3" t="s">
        <v>90</v>
      </c>
      <c r="E369" s="3" t="s">
        <v>91</v>
      </c>
      <c r="F369" s="3" t="s">
        <v>931</v>
      </c>
      <c r="G369" s="3" t="s">
        <v>932</v>
      </c>
      <c r="H369" s="4">
        <v>33183</v>
      </c>
      <c r="I369" s="6" t="s">
        <v>2340</v>
      </c>
      <c r="J369" s="6" t="s">
        <v>2518</v>
      </c>
      <c r="K369" s="6" t="s">
        <v>2915</v>
      </c>
      <c r="L369" s="6" t="s">
        <v>3252</v>
      </c>
      <c r="M369" s="9" t="s">
        <v>3640</v>
      </c>
      <c r="N369" s="5" t="str">
        <f t="shared" ref="N369" si="357">TEXT(H369,"DD-MMM-YYY")</f>
        <v>06-Nov-1990</v>
      </c>
      <c r="O369" s="6" t="s">
        <v>3882</v>
      </c>
    </row>
    <row r="370" spans="1:15" x14ac:dyDescent="0.35">
      <c r="A370" s="3" t="s">
        <v>169</v>
      </c>
      <c r="B370" s="3" t="s">
        <v>102</v>
      </c>
      <c r="C370" s="3" t="s">
        <v>158</v>
      </c>
      <c r="D370" s="3" t="s">
        <v>104</v>
      </c>
      <c r="E370" s="3" t="s">
        <v>105</v>
      </c>
      <c r="F370" s="3" t="s">
        <v>933</v>
      </c>
      <c r="G370" s="3" t="s">
        <v>934</v>
      </c>
      <c r="H370" s="4">
        <v>33249</v>
      </c>
      <c r="I370" s="6" t="s">
        <v>2341</v>
      </c>
      <c r="J370" s="6" t="s">
        <v>2519</v>
      </c>
      <c r="K370" s="6" t="s">
        <v>2916</v>
      </c>
      <c r="L370" s="6" t="s">
        <v>3264</v>
      </c>
      <c r="M370" s="9" t="s">
        <v>3641</v>
      </c>
      <c r="N370" s="5" t="str">
        <f t="shared" ref="N370" si="358">TEXT(H370, "DD-MMM-YYY")</f>
        <v>11-Jan-1991</v>
      </c>
      <c r="O370" s="6" t="s">
        <v>3883</v>
      </c>
    </row>
    <row r="371" spans="1:15" x14ac:dyDescent="0.35">
      <c r="A371" s="3" t="s">
        <v>175</v>
      </c>
      <c r="B371" s="3" t="s">
        <v>109</v>
      </c>
      <c r="C371" s="3" t="s">
        <v>164</v>
      </c>
      <c r="D371" s="3" t="s">
        <v>111</v>
      </c>
      <c r="E371" s="3" t="s">
        <v>112</v>
      </c>
      <c r="F371" s="3" t="s">
        <v>935</v>
      </c>
      <c r="G371" s="3" t="s">
        <v>936</v>
      </c>
      <c r="H371" s="4">
        <v>33679</v>
      </c>
      <c r="I371" s="6" t="s">
        <v>2342</v>
      </c>
      <c r="J371" s="6" t="s">
        <v>2520</v>
      </c>
      <c r="K371" s="6" t="s">
        <v>2917</v>
      </c>
      <c r="L371" s="6" t="s">
        <v>3194</v>
      </c>
      <c r="M371" s="9" t="s">
        <v>3642</v>
      </c>
      <c r="N371" s="5" t="str">
        <f t="shared" ref="N371" si="359">TEXT(H371,"DD-MMM-YYY")</f>
        <v>16-Mar-1992</v>
      </c>
      <c r="O371" s="6" t="s">
        <v>3884</v>
      </c>
    </row>
    <row r="372" spans="1:15" x14ac:dyDescent="0.35">
      <c r="A372" s="3" t="s">
        <v>179</v>
      </c>
      <c r="B372" s="3" t="s">
        <v>116</v>
      </c>
      <c r="C372" s="3" t="s">
        <v>19</v>
      </c>
      <c r="D372" s="3" t="s">
        <v>118</v>
      </c>
      <c r="E372" s="3" t="s">
        <v>119</v>
      </c>
      <c r="F372" s="3" t="s">
        <v>937</v>
      </c>
      <c r="G372" s="3" t="s">
        <v>938</v>
      </c>
      <c r="H372" s="4">
        <v>34110</v>
      </c>
      <c r="I372" s="6" t="s">
        <v>2343</v>
      </c>
      <c r="J372" s="6" t="s">
        <v>2521</v>
      </c>
      <c r="K372" s="6" t="s">
        <v>2918</v>
      </c>
      <c r="L372" s="6" t="s">
        <v>3154</v>
      </c>
      <c r="M372" s="9" t="s">
        <v>3643</v>
      </c>
      <c r="N372" s="5" t="str">
        <f t="shared" ref="N372" si="360">TEXT(H372, "DD-MMM-YYY")</f>
        <v>21-May-1993</v>
      </c>
      <c r="O372" s="6" t="s">
        <v>30</v>
      </c>
    </row>
    <row r="373" spans="1:15" x14ac:dyDescent="0.35">
      <c r="A373" s="3" t="s">
        <v>185</v>
      </c>
      <c r="B373" s="3" t="s">
        <v>123</v>
      </c>
      <c r="C373" s="3" t="s">
        <v>33</v>
      </c>
      <c r="D373" s="3" t="s">
        <v>125</v>
      </c>
      <c r="E373" s="3" t="s">
        <v>126</v>
      </c>
      <c r="F373" s="3" t="s">
        <v>939</v>
      </c>
      <c r="G373" s="3" t="s">
        <v>940</v>
      </c>
      <c r="H373" s="4">
        <v>34541</v>
      </c>
      <c r="I373" s="6" t="s">
        <v>2344</v>
      </c>
      <c r="J373" s="6" t="s">
        <v>2522</v>
      </c>
      <c r="K373" s="6" t="s">
        <v>2919</v>
      </c>
      <c r="L373" s="6" t="s">
        <v>3186</v>
      </c>
      <c r="M373" s="9" t="s">
        <v>3644</v>
      </c>
      <c r="N373" s="5" t="str">
        <f t="shared" ref="N373" si="361">TEXT(H373,"DD-MMM-YYY")</f>
        <v>26-Jul-1994</v>
      </c>
      <c r="O373" s="6" t="s">
        <v>44</v>
      </c>
    </row>
    <row r="374" spans="1:15" x14ac:dyDescent="0.35">
      <c r="A374" s="3" t="s">
        <v>191</v>
      </c>
      <c r="B374" s="3" t="s">
        <v>130</v>
      </c>
      <c r="C374" s="3" t="s">
        <v>47</v>
      </c>
      <c r="D374" s="3" t="s">
        <v>132</v>
      </c>
      <c r="E374" s="3" t="s">
        <v>126</v>
      </c>
      <c r="F374" s="3" t="s">
        <v>941</v>
      </c>
      <c r="G374" s="3" t="s">
        <v>942</v>
      </c>
      <c r="H374" s="4">
        <v>34945</v>
      </c>
      <c r="I374" s="6" t="s">
        <v>2345</v>
      </c>
      <c r="J374" s="6" t="s">
        <v>2523</v>
      </c>
      <c r="K374" s="6" t="s">
        <v>2920</v>
      </c>
      <c r="L374" s="6" t="s">
        <v>3190</v>
      </c>
      <c r="M374" s="9" t="s">
        <v>3645</v>
      </c>
      <c r="N374" s="5" t="str">
        <f t="shared" ref="N374" si="362">TEXT(H374, "DD-MMM-YYY")</f>
        <v>03-Sept-1995</v>
      </c>
      <c r="O374" s="6" t="s">
        <v>58</v>
      </c>
    </row>
    <row r="375" spans="1:15" x14ac:dyDescent="0.35">
      <c r="A375" s="3" t="s">
        <v>195</v>
      </c>
      <c r="B375" s="3" t="s">
        <v>136</v>
      </c>
      <c r="C375" s="3" t="s">
        <v>61</v>
      </c>
      <c r="D375" s="3" t="s">
        <v>138</v>
      </c>
      <c r="E375" s="3" t="s">
        <v>139</v>
      </c>
      <c r="F375" s="3" t="s">
        <v>943</v>
      </c>
      <c r="G375" s="3" t="s">
        <v>944</v>
      </c>
      <c r="H375" s="4">
        <v>35377</v>
      </c>
      <c r="I375" s="6" t="s">
        <v>2346</v>
      </c>
      <c r="J375" s="6" t="s">
        <v>1692</v>
      </c>
      <c r="K375" s="6" t="s">
        <v>2921</v>
      </c>
      <c r="L375" s="6" t="s">
        <v>3243</v>
      </c>
      <c r="M375" s="9" t="s">
        <v>3646</v>
      </c>
      <c r="N375" s="5" t="str">
        <f t="shared" ref="N375" si="363">TEXT(H375,"DD-MMM-YYY")</f>
        <v>08-Nov-1996</v>
      </c>
      <c r="O375" s="6" t="s">
        <v>72</v>
      </c>
    </row>
    <row r="376" spans="1:15" x14ac:dyDescent="0.35">
      <c r="A376" s="3" t="s">
        <v>199</v>
      </c>
      <c r="B376" s="3" t="s">
        <v>143</v>
      </c>
      <c r="C376" s="3" t="s">
        <v>75</v>
      </c>
      <c r="D376" s="3" t="s">
        <v>145</v>
      </c>
      <c r="E376" s="3" t="s">
        <v>146</v>
      </c>
      <c r="F376" s="3" t="s">
        <v>945</v>
      </c>
      <c r="G376" s="3" t="s">
        <v>946</v>
      </c>
      <c r="H376" s="4">
        <v>35443</v>
      </c>
      <c r="I376" s="6" t="s">
        <v>2347</v>
      </c>
      <c r="J376" s="6" t="s">
        <v>2524</v>
      </c>
      <c r="K376" s="6" t="s">
        <v>2922</v>
      </c>
      <c r="L376" s="6" t="s">
        <v>3265</v>
      </c>
      <c r="M376" s="9" t="s">
        <v>3647</v>
      </c>
      <c r="N376" s="5" t="str">
        <f t="shared" ref="N376" si="364">TEXT(H376, "DD-MMM-YYY")</f>
        <v>13-Jan-1997</v>
      </c>
      <c r="O376" s="6" t="s">
        <v>86</v>
      </c>
    </row>
    <row r="377" spans="1:15" x14ac:dyDescent="0.35">
      <c r="A377" s="3" t="s">
        <v>203</v>
      </c>
      <c r="B377" s="3" t="s">
        <v>150</v>
      </c>
      <c r="C377" s="3" t="s">
        <v>89</v>
      </c>
      <c r="D377" s="3" t="s">
        <v>152</v>
      </c>
      <c r="E377" s="3" t="s">
        <v>153</v>
      </c>
      <c r="F377" s="3" t="s">
        <v>947</v>
      </c>
      <c r="G377" s="3" t="s">
        <v>948</v>
      </c>
      <c r="H377" s="4">
        <v>35872</v>
      </c>
      <c r="I377" s="6" t="s">
        <v>2348</v>
      </c>
      <c r="J377" s="6" t="s">
        <v>2525</v>
      </c>
      <c r="K377" s="6" t="s">
        <v>2923</v>
      </c>
      <c r="L377" s="6" t="s">
        <v>3266</v>
      </c>
      <c r="M377" s="9" t="s">
        <v>3648</v>
      </c>
      <c r="N377" s="5" t="str">
        <f t="shared" ref="N377" si="365">TEXT(H377,"DD-MMM-YYY")</f>
        <v>18-Mar-1998</v>
      </c>
      <c r="O377" s="6" t="s">
        <v>100</v>
      </c>
    </row>
    <row r="378" spans="1:15" x14ac:dyDescent="0.35">
      <c r="A378" s="3" t="s">
        <v>207</v>
      </c>
      <c r="B378" s="3" t="s">
        <v>157</v>
      </c>
      <c r="C378" s="3" t="s">
        <v>103</v>
      </c>
      <c r="D378" s="3" t="s">
        <v>159</v>
      </c>
      <c r="E378" s="3" t="s">
        <v>77</v>
      </c>
      <c r="F378" s="3" t="s">
        <v>949</v>
      </c>
      <c r="G378" s="3" t="s">
        <v>950</v>
      </c>
      <c r="H378" s="4">
        <v>36303</v>
      </c>
      <c r="I378" s="6" t="s">
        <v>2349</v>
      </c>
      <c r="J378" s="6" t="s">
        <v>2526</v>
      </c>
      <c r="K378" s="6" t="s">
        <v>2924</v>
      </c>
      <c r="L378" s="6" t="s">
        <v>3222</v>
      </c>
      <c r="M378" s="9" t="s">
        <v>3649</v>
      </c>
      <c r="N378" s="5" t="str">
        <f t="shared" ref="N378" si="366">TEXT(H378, "DD-MMM-YYY")</f>
        <v>23-May-1999</v>
      </c>
      <c r="O378" s="6" t="s">
        <v>3875</v>
      </c>
    </row>
    <row r="379" spans="1:15" x14ac:dyDescent="0.35">
      <c r="A379" s="3" t="s">
        <v>211</v>
      </c>
      <c r="B379" s="3" t="s">
        <v>163</v>
      </c>
      <c r="C379" s="3" t="s">
        <v>110</v>
      </c>
      <c r="D379" s="3" t="s">
        <v>165</v>
      </c>
      <c r="E379" s="3" t="s">
        <v>166</v>
      </c>
      <c r="F379" s="3" t="s">
        <v>951</v>
      </c>
      <c r="G379" s="3" t="s">
        <v>952</v>
      </c>
      <c r="H379" s="4">
        <v>31256</v>
      </c>
      <c r="I379" s="6" t="s">
        <v>2350</v>
      </c>
      <c r="J379" s="6" t="s">
        <v>2527</v>
      </c>
      <c r="K379" s="6" t="s">
        <v>2925</v>
      </c>
      <c r="L379" s="6" t="s">
        <v>3267</v>
      </c>
      <c r="M379" s="9" t="s">
        <v>3650</v>
      </c>
      <c r="N379" s="5" t="str">
        <f t="shared" ref="N379" si="367">TEXT(H379,"DD-MMM-YYY")</f>
        <v>28-Jul-1985</v>
      </c>
      <c r="O379" s="6" t="s">
        <v>3876</v>
      </c>
    </row>
    <row r="380" spans="1:15" x14ac:dyDescent="0.35">
      <c r="A380" s="3" t="s">
        <v>215</v>
      </c>
      <c r="B380" s="3" t="s">
        <v>170</v>
      </c>
      <c r="C380" s="3" t="s">
        <v>117</v>
      </c>
      <c r="D380" s="3" t="s">
        <v>171</v>
      </c>
      <c r="E380" s="3" t="s">
        <v>172</v>
      </c>
      <c r="F380" s="3" t="s">
        <v>953</v>
      </c>
      <c r="G380" s="3" t="s">
        <v>954</v>
      </c>
      <c r="H380" s="4">
        <v>31660</v>
      </c>
      <c r="I380" s="6" t="s">
        <v>2351</v>
      </c>
      <c r="J380" s="6" t="s">
        <v>2528</v>
      </c>
      <c r="K380" s="6" t="s">
        <v>2926</v>
      </c>
      <c r="L380" s="6" t="s">
        <v>3247</v>
      </c>
      <c r="M380" s="9" t="s">
        <v>3651</v>
      </c>
      <c r="N380" s="5" t="str">
        <f t="shared" ref="N380" si="368">TEXT(H380, "DD-MMM-YYY")</f>
        <v>05-Sept-1986</v>
      </c>
      <c r="O380" s="6" t="s">
        <v>3877</v>
      </c>
    </row>
    <row r="381" spans="1:15" x14ac:dyDescent="0.35">
      <c r="A381" s="3" t="s">
        <v>219</v>
      </c>
      <c r="B381" s="3" t="s">
        <v>176</v>
      </c>
      <c r="C381" s="3" t="s">
        <v>124</v>
      </c>
      <c r="D381" s="3" t="s">
        <v>162</v>
      </c>
      <c r="E381" s="3" t="s">
        <v>63</v>
      </c>
      <c r="F381" s="3" t="s">
        <v>955</v>
      </c>
      <c r="G381" s="3" t="s">
        <v>956</v>
      </c>
      <c r="H381" s="4">
        <v>32091</v>
      </c>
      <c r="I381" s="6" t="s">
        <v>2352</v>
      </c>
      <c r="J381" s="6" t="s">
        <v>2529</v>
      </c>
      <c r="K381" s="6" t="s">
        <v>2927</v>
      </c>
      <c r="L381" s="6" t="s">
        <v>153</v>
      </c>
      <c r="M381" s="9" t="s">
        <v>3652</v>
      </c>
      <c r="N381" s="5" t="str">
        <f t="shared" ref="N381" si="369">TEXT(H381,"DD-MMM-YYY")</f>
        <v>10-Nov-1987</v>
      </c>
      <c r="O381" s="6" t="s">
        <v>3878</v>
      </c>
    </row>
    <row r="382" spans="1:15" x14ac:dyDescent="0.35">
      <c r="A382" s="3" t="s">
        <v>223</v>
      </c>
      <c r="B382" s="3" t="s">
        <v>180</v>
      </c>
      <c r="C382" s="3" t="s">
        <v>131</v>
      </c>
      <c r="D382" s="3" t="s">
        <v>181</v>
      </c>
      <c r="E382" s="3" t="s">
        <v>182</v>
      </c>
      <c r="F382" s="3" t="s">
        <v>957</v>
      </c>
      <c r="G382" s="3" t="s">
        <v>958</v>
      </c>
      <c r="H382" s="4">
        <v>32157</v>
      </c>
      <c r="I382" s="6" t="s">
        <v>2353</v>
      </c>
      <c r="J382" s="6" t="s">
        <v>2530</v>
      </c>
      <c r="K382" s="6" t="s">
        <v>2928</v>
      </c>
      <c r="L382" s="6" t="s">
        <v>3268</v>
      </c>
      <c r="M382" s="9" t="s">
        <v>3653</v>
      </c>
      <c r="N382" s="5" t="str">
        <f t="shared" ref="N382" si="370">TEXT(H382, "DD-MMM-YYY")</f>
        <v>15-Jan-1988</v>
      </c>
      <c r="O382" s="6" t="s">
        <v>3879</v>
      </c>
    </row>
    <row r="383" spans="1:15" x14ac:dyDescent="0.35">
      <c r="A383" s="3" t="s">
        <v>227</v>
      </c>
      <c r="B383" s="3" t="s">
        <v>186</v>
      </c>
      <c r="C383" s="3" t="s">
        <v>137</v>
      </c>
      <c r="D383" s="3" t="s">
        <v>187</v>
      </c>
      <c r="E383" s="3" t="s">
        <v>188</v>
      </c>
      <c r="F383" s="3" t="s">
        <v>959</v>
      </c>
      <c r="G383" s="3" t="s">
        <v>960</v>
      </c>
      <c r="H383" s="4">
        <v>32587</v>
      </c>
      <c r="I383" s="6" t="s">
        <v>2354</v>
      </c>
      <c r="J383" s="6" t="s">
        <v>2531</v>
      </c>
      <c r="K383" s="6" t="s">
        <v>2929</v>
      </c>
      <c r="L383" s="6" t="s">
        <v>3269</v>
      </c>
      <c r="M383" s="9" t="s">
        <v>3654</v>
      </c>
      <c r="N383" s="5" t="str">
        <f t="shared" ref="N383" si="371">TEXT(H383,"DD-MMM-YYY")</f>
        <v>20-Mar-1989</v>
      </c>
      <c r="O383" s="6" t="s">
        <v>3880</v>
      </c>
    </row>
    <row r="384" spans="1:15" x14ac:dyDescent="0.35">
      <c r="A384" s="3" t="s">
        <v>231</v>
      </c>
      <c r="B384" s="3" t="s">
        <v>192</v>
      </c>
      <c r="C384" s="3" t="s">
        <v>144</v>
      </c>
      <c r="D384" s="3" t="s">
        <v>20</v>
      </c>
      <c r="E384" s="3" t="s">
        <v>21</v>
      </c>
      <c r="F384" s="3" t="s">
        <v>961</v>
      </c>
      <c r="G384" s="3" t="s">
        <v>962</v>
      </c>
      <c r="H384" s="4">
        <v>33018</v>
      </c>
      <c r="I384" s="6" t="s">
        <v>2355</v>
      </c>
      <c r="J384" s="6" t="s">
        <v>2532</v>
      </c>
      <c r="K384" s="6" t="s">
        <v>2930</v>
      </c>
      <c r="L384" s="6" t="s">
        <v>3162</v>
      </c>
      <c r="M384" s="9" t="s">
        <v>3655</v>
      </c>
      <c r="N384" s="5" t="str">
        <f t="shared" ref="N384" si="372">TEXT(H384, "DD-MMM-YYY")</f>
        <v>25-May-1990</v>
      </c>
      <c r="O384" s="6" t="s">
        <v>3881</v>
      </c>
    </row>
    <row r="385" spans="1:15" x14ac:dyDescent="0.35">
      <c r="A385" s="3" t="s">
        <v>235</v>
      </c>
      <c r="B385" s="3" t="s">
        <v>196</v>
      </c>
      <c r="C385" s="3" t="s">
        <v>151</v>
      </c>
      <c r="D385" s="3" t="s">
        <v>34</v>
      </c>
      <c r="E385" s="3" t="s">
        <v>35</v>
      </c>
      <c r="F385" s="3" t="s">
        <v>963</v>
      </c>
      <c r="G385" s="3" t="s">
        <v>964</v>
      </c>
      <c r="H385" s="4">
        <v>33421</v>
      </c>
      <c r="I385" s="6" t="s">
        <v>2356</v>
      </c>
      <c r="J385" s="6" t="s">
        <v>1623</v>
      </c>
      <c r="K385" s="6" t="s">
        <v>2931</v>
      </c>
      <c r="L385" s="6" t="s">
        <v>3163</v>
      </c>
      <c r="M385" s="9" t="s">
        <v>3656</v>
      </c>
      <c r="N385" s="5" t="str">
        <f t="shared" ref="N385" si="373">TEXT(H385,"DD-MMM-YYY")</f>
        <v>02-Jul-1991</v>
      </c>
      <c r="O385" s="6" t="s">
        <v>3882</v>
      </c>
    </row>
    <row r="386" spans="1:15" x14ac:dyDescent="0.35">
      <c r="A386" s="3" t="s">
        <v>239</v>
      </c>
      <c r="B386" s="3" t="s">
        <v>200</v>
      </c>
      <c r="C386" s="3" t="s">
        <v>158</v>
      </c>
      <c r="D386" s="3" t="s">
        <v>48</v>
      </c>
      <c r="E386" s="3" t="s">
        <v>49</v>
      </c>
      <c r="F386" s="3" t="s">
        <v>965</v>
      </c>
      <c r="G386" s="3" t="s">
        <v>966</v>
      </c>
      <c r="H386" s="4">
        <v>33854</v>
      </c>
      <c r="I386" s="6" t="s">
        <v>2357</v>
      </c>
      <c r="J386" s="6" t="s">
        <v>2533</v>
      </c>
      <c r="K386" s="6" t="s">
        <v>2932</v>
      </c>
      <c r="L386" s="6" t="s">
        <v>3188</v>
      </c>
      <c r="M386" s="9" t="s">
        <v>3657</v>
      </c>
      <c r="N386" s="5" t="str">
        <f t="shared" ref="N386" si="374">TEXT(H386, "DD-MMM-YYY")</f>
        <v>07-Sept-1992</v>
      </c>
      <c r="O386" s="6" t="s">
        <v>3883</v>
      </c>
    </row>
    <row r="387" spans="1:15" x14ac:dyDescent="0.35">
      <c r="A387" s="3" t="s">
        <v>243</v>
      </c>
      <c r="B387" s="3" t="s">
        <v>204</v>
      </c>
      <c r="C387" s="3" t="s">
        <v>164</v>
      </c>
      <c r="D387" s="3" t="s">
        <v>62</v>
      </c>
      <c r="E387" s="3" t="s">
        <v>63</v>
      </c>
      <c r="F387" s="3" t="s">
        <v>967</v>
      </c>
      <c r="G387" s="3" t="s">
        <v>968</v>
      </c>
      <c r="H387" s="4">
        <v>34285</v>
      </c>
      <c r="I387" s="6" t="s">
        <v>2358</v>
      </c>
      <c r="J387" s="6" t="s">
        <v>2534</v>
      </c>
      <c r="K387" s="6" t="s">
        <v>2933</v>
      </c>
      <c r="L387" s="6" t="s">
        <v>3270</v>
      </c>
      <c r="M387" s="9" t="s">
        <v>3658</v>
      </c>
      <c r="N387" s="5" t="str">
        <f t="shared" ref="N387" si="375">TEXT(H387,"DD-MMM-YYY")</f>
        <v>12-Nov-1993</v>
      </c>
      <c r="O387" s="6" t="s">
        <v>3884</v>
      </c>
    </row>
    <row r="388" spans="1:15" x14ac:dyDescent="0.35">
      <c r="A388" s="3" t="s">
        <v>247</v>
      </c>
      <c r="B388" s="3" t="s">
        <v>208</v>
      </c>
      <c r="C388" s="3" t="s">
        <v>19</v>
      </c>
      <c r="D388" s="3" t="s">
        <v>76</v>
      </c>
      <c r="E388" s="3" t="s">
        <v>77</v>
      </c>
      <c r="F388" s="3" t="s">
        <v>969</v>
      </c>
      <c r="G388" s="3" t="s">
        <v>970</v>
      </c>
      <c r="H388" s="4">
        <v>34351</v>
      </c>
      <c r="I388" s="6" t="s">
        <v>2359</v>
      </c>
      <c r="J388" s="6" t="s">
        <v>2535</v>
      </c>
      <c r="K388" s="6" t="s">
        <v>2934</v>
      </c>
      <c r="L388" s="6" t="s">
        <v>3271</v>
      </c>
      <c r="M388" s="9" t="s">
        <v>3659</v>
      </c>
      <c r="N388" s="5" t="str">
        <f t="shared" ref="N388" si="376">TEXT(H388, "DD-MMM-YYY")</f>
        <v>17-Jan-1994</v>
      </c>
      <c r="O388" s="6" t="s">
        <v>30</v>
      </c>
    </row>
    <row r="389" spans="1:15" x14ac:dyDescent="0.35">
      <c r="A389" s="3" t="s">
        <v>251</v>
      </c>
      <c r="B389" s="3" t="s">
        <v>212</v>
      </c>
      <c r="C389" s="3" t="s">
        <v>33</v>
      </c>
      <c r="D389" s="3" t="s">
        <v>90</v>
      </c>
      <c r="E389" s="3" t="s">
        <v>91</v>
      </c>
      <c r="F389" s="3" t="s">
        <v>971</v>
      </c>
      <c r="G389" s="3" t="s">
        <v>972</v>
      </c>
      <c r="H389" s="4">
        <v>34780</v>
      </c>
      <c r="I389" s="6" t="s">
        <v>2360</v>
      </c>
      <c r="J389" s="6" t="s">
        <v>2536</v>
      </c>
      <c r="K389" s="6" t="s">
        <v>2935</v>
      </c>
      <c r="L389" s="6" t="s">
        <v>3229</v>
      </c>
      <c r="M389" s="9" t="s">
        <v>3660</v>
      </c>
      <c r="N389" s="5" t="str">
        <f t="shared" ref="N389" si="377">TEXT(H389,"DD-MMM-YYY")</f>
        <v>22-Mar-1995</v>
      </c>
      <c r="O389" s="6" t="s">
        <v>44</v>
      </c>
    </row>
    <row r="390" spans="1:15" x14ac:dyDescent="0.35">
      <c r="A390" s="3" t="s">
        <v>255</v>
      </c>
      <c r="B390" s="3" t="s">
        <v>216</v>
      </c>
      <c r="C390" s="3" t="s">
        <v>47</v>
      </c>
      <c r="D390" s="3" t="s">
        <v>104</v>
      </c>
      <c r="E390" s="3" t="s">
        <v>105</v>
      </c>
      <c r="F390" s="3" t="s">
        <v>973</v>
      </c>
      <c r="G390" s="3" t="s">
        <v>974</v>
      </c>
      <c r="H390" s="4">
        <v>35212</v>
      </c>
      <c r="I390" s="6" t="s">
        <v>2361</v>
      </c>
      <c r="J390" s="6" t="s">
        <v>2537</v>
      </c>
      <c r="K390" s="6" t="s">
        <v>2936</v>
      </c>
      <c r="L390" s="6" t="s">
        <v>41</v>
      </c>
      <c r="M390" s="9" t="s">
        <v>3661</v>
      </c>
      <c r="N390" s="5" t="str">
        <f t="shared" ref="N390" si="378">TEXT(H390, "DD-MMM-YYY")</f>
        <v>27-May-1996</v>
      </c>
      <c r="O390" s="6" t="s">
        <v>58</v>
      </c>
    </row>
    <row r="391" spans="1:15" x14ac:dyDescent="0.35">
      <c r="A391" s="3" t="s">
        <v>259</v>
      </c>
      <c r="B391" s="3" t="s">
        <v>220</v>
      </c>
      <c r="C391" s="3" t="s">
        <v>61</v>
      </c>
      <c r="D391" s="3" t="s">
        <v>111</v>
      </c>
      <c r="E391" s="3" t="s">
        <v>112</v>
      </c>
      <c r="F391" s="3" t="s">
        <v>975</v>
      </c>
      <c r="G391" s="3" t="s">
        <v>976</v>
      </c>
      <c r="H391" s="4">
        <v>35615</v>
      </c>
      <c r="I391" s="6" t="s">
        <v>2362</v>
      </c>
      <c r="J391" s="6" t="s">
        <v>2538</v>
      </c>
      <c r="K391" s="6" t="s">
        <v>2937</v>
      </c>
      <c r="L391" s="6" t="s">
        <v>3272</v>
      </c>
      <c r="M391" s="9" t="s">
        <v>3662</v>
      </c>
      <c r="N391" s="5" t="str">
        <f t="shared" ref="N391" si="379">TEXT(H391,"DD-MMM-YYY")</f>
        <v>04-Jul-1997</v>
      </c>
      <c r="O391" s="6" t="s">
        <v>72</v>
      </c>
    </row>
    <row r="392" spans="1:15" x14ac:dyDescent="0.35">
      <c r="A392" s="3" t="s">
        <v>263</v>
      </c>
      <c r="B392" s="3" t="s">
        <v>224</v>
      </c>
      <c r="C392" s="3" t="s">
        <v>75</v>
      </c>
      <c r="D392" s="3" t="s">
        <v>118</v>
      </c>
      <c r="E392" s="3" t="s">
        <v>119</v>
      </c>
      <c r="F392" s="3" t="s">
        <v>977</v>
      </c>
      <c r="G392" s="3" t="s">
        <v>978</v>
      </c>
      <c r="H392" s="4">
        <v>36047</v>
      </c>
      <c r="I392" s="6" t="s">
        <v>2363</v>
      </c>
      <c r="J392" s="6" t="s">
        <v>2539</v>
      </c>
      <c r="K392" s="6" t="s">
        <v>2938</v>
      </c>
      <c r="L392" s="6" t="s">
        <v>3234</v>
      </c>
      <c r="M392" s="9" t="s">
        <v>3663</v>
      </c>
      <c r="N392" s="5" t="str">
        <f t="shared" ref="N392" si="380">TEXT(H392, "DD-MMM-YYY")</f>
        <v>09-Sept-1998</v>
      </c>
      <c r="O392" s="6" t="s">
        <v>86</v>
      </c>
    </row>
    <row r="393" spans="1:15" x14ac:dyDescent="0.35">
      <c r="A393" s="3" t="s">
        <v>267</v>
      </c>
      <c r="B393" s="3" t="s">
        <v>228</v>
      </c>
      <c r="C393" s="3" t="s">
        <v>89</v>
      </c>
      <c r="D393" s="3" t="s">
        <v>125</v>
      </c>
      <c r="E393" s="3" t="s">
        <v>126</v>
      </c>
      <c r="F393" s="3" t="s">
        <v>979</v>
      </c>
      <c r="G393" s="3" t="s">
        <v>980</v>
      </c>
      <c r="H393" s="4">
        <v>36478</v>
      </c>
      <c r="I393" s="6" t="s">
        <v>2364</v>
      </c>
      <c r="J393" s="6" t="s">
        <v>2540</v>
      </c>
      <c r="K393" s="6" t="s">
        <v>2939</v>
      </c>
      <c r="L393" s="6" t="s">
        <v>63</v>
      </c>
      <c r="M393" s="9" t="s">
        <v>3664</v>
      </c>
      <c r="N393" s="5" t="str">
        <f t="shared" ref="N393" si="381">TEXT(H393,"DD-MMM-YYY")</f>
        <v>14-Nov-1999</v>
      </c>
      <c r="O393" s="6" t="s">
        <v>100</v>
      </c>
    </row>
    <row r="394" spans="1:15" x14ac:dyDescent="0.35">
      <c r="A394" s="3" t="s">
        <v>271</v>
      </c>
      <c r="B394" s="3" t="s">
        <v>232</v>
      </c>
      <c r="C394" s="3" t="s">
        <v>103</v>
      </c>
      <c r="D394" s="3" t="s">
        <v>132</v>
      </c>
      <c r="E394" s="3" t="s">
        <v>126</v>
      </c>
      <c r="F394" s="3" t="s">
        <v>981</v>
      </c>
      <c r="G394" s="3" t="s">
        <v>982</v>
      </c>
      <c r="H394" s="4">
        <v>31066</v>
      </c>
      <c r="I394" s="6" t="s">
        <v>2365</v>
      </c>
      <c r="J394" s="6" t="s">
        <v>2541</v>
      </c>
      <c r="K394" s="6" t="s">
        <v>2940</v>
      </c>
      <c r="L394" s="6" t="s">
        <v>3273</v>
      </c>
      <c r="M394" s="9" t="s">
        <v>3665</v>
      </c>
      <c r="N394" s="5" t="str">
        <f t="shared" ref="N394" si="382">TEXT(H394, "DD-MMM-YYY")</f>
        <v>19-Jan-1985</v>
      </c>
      <c r="O394" s="6" t="s">
        <v>3875</v>
      </c>
    </row>
    <row r="395" spans="1:15" x14ac:dyDescent="0.35">
      <c r="A395" s="3" t="s">
        <v>274</v>
      </c>
      <c r="B395" s="3" t="s">
        <v>236</v>
      </c>
      <c r="C395" s="3" t="s">
        <v>110</v>
      </c>
      <c r="D395" s="3" t="s">
        <v>138</v>
      </c>
      <c r="E395" s="3" t="s">
        <v>139</v>
      </c>
      <c r="F395" s="3" t="s">
        <v>983</v>
      </c>
      <c r="G395" s="3" t="s">
        <v>984</v>
      </c>
      <c r="H395" s="4">
        <v>31495</v>
      </c>
      <c r="I395" s="6" t="s">
        <v>2366</v>
      </c>
      <c r="J395" s="6" t="s">
        <v>1546</v>
      </c>
      <c r="K395" s="6" t="s">
        <v>2941</v>
      </c>
      <c r="L395" s="6" t="s">
        <v>3274</v>
      </c>
      <c r="M395" s="9" t="s">
        <v>3666</v>
      </c>
      <c r="N395" s="5" t="str">
        <f t="shared" ref="N395" si="383">TEXT(H395,"DD-MMM-YYY")</f>
        <v>24-Mar-1986</v>
      </c>
      <c r="O395" s="6" t="s">
        <v>3876</v>
      </c>
    </row>
    <row r="396" spans="1:15" x14ac:dyDescent="0.35">
      <c r="A396" s="3" t="s">
        <v>277</v>
      </c>
      <c r="B396" s="3" t="s">
        <v>240</v>
      </c>
      <c r="C396" s="3" t="s">
        <v>117</v>
      </c>
      <c r="D396" s="3" t="s">
        <v>145</v>
      </c>
      <c r="E396" s="3" t="s">
        <v>146</v>
      </c>
      <c r="F396" s="3" t="s">
        <v>985</v>
      </c>
      <c r="G396" s="3" t="s">
        <v>986</v>
      </c>
      <c r="H396" s="4">
        <v>31898</v>
      </c>
      <c r="I396" s="6" t="s">
        <v>2367</v>
      </c>
      <c r="J396" s="6" t="s">
        <v>2542</v>
      </c>
      <c r="K396" s="6" t="s">
        <v>2942</v>
      </c>
      <c r="L396" s="6" t="s">
        <v>3275</v>
      </c>
      <c r="M396" s="9" t="s">
        <v>3667</v>
      </c>
      <c r="N396" s="5" t="str">
        <f t="shared" ref="N396" si="384">TEXT(H396, "DD-MMM-YYY")</f>
        <v>01-May-1987</v>
      </c>
      <c r="O396" s="6" t="s">
        <v>3877</v>
      </c>
    </row>
    <row r="397" spans="1:15" x14ac:dyDescent="0.35">
      <c r="A397" s="3" t="s">
        <v>280</v>
      </c>
      <c r="B397" s="3" t="s">
        <v>244</v>
      </c>
      <c r="C397" s="3" t="s">
        <v>124</v>
      </c>
      <c r="D397" s="3" t="s">
        <v>152</v>
      </c>
      <c r="E397" s="3" t="s">
        <v>153</v>
      </c>
      <c r="F397" s="3" t="s">
        <v>987</v>
      </c>
      <c r="G397" s="3" t="s">
        <v>988</v>
      </c>
      <c r="H397" s="4">
        <v>32330</v>
      </c>
      <c r="I397" s="6" t="s">
        <v>2368</v>
      </c>
      <c r="J397" s="6" t="s">
        <v>2543</v>
      </c>
      <c r="K397" s="6" t="s">
        <v>2943</v>
      </c>
      <c r="L397" s="6" t="s">
        <v>3276</v>
      </c>
      <c r="M397" s="9" t="s">
        <v>3668</v>
      </c>
      <c r="N397" s="5" t="str">
        <f t="shared" ref="N397" si="385">TEXT(H397,"DD-MMM-YYY")</f>
        <v>06-Jul-1988</v>
      </c>
      <c r="O397" s="6" t="s">
        <v>3878</v>
      </c>
    </row>
    <row r="398" spans="1:15" x14ac:dyDescent="0.35">
      <c r="A398" s="3" t="s">
        <v>283</v>
      </c>
      <c r="B398" s="3" t="s">
        <v>248</v>
      </c>
      <c r="C398" s="3" t="s">
        <v>131</v>
      </c>
      <c r="D398" s="3" t="s">
        <v>159</v>
      </c>
      <c r="E398" s="3" t="s">
        <v>77</v>
      </c>
      <c r="F398" s="3" t="s">
        <v>989</v>
      </c>
      <c r="G398" s="3" t="s">
        <v>990</v>
      </c>
      <c r="H398" s="4">
        <v>32762</v>
      </c>
      <c r="I398" s="6" t="s">
        <v>2369</v>
      </c>
      <c r="J398" s="6" t="s">
        <v>2544</v>
      </c>
      <c r="K398" s="6" t="s">
        <v>2944</v>
      </c>
      <c r="L398" s="6" t="s">
        <v>3277</v>
      </c>
      <c r="M398" s="9" t="s">
        <v>3669</v>
      </c>
      <c r="N398" s="5" t="str">
        <f t="shared" ref="N398" si="386">TEXT(H398, "DD-MMM-YYY")</f>
        <v>11-Sept-1989</v>
      </c>
      <c r="O398" s="6" t="s">
        <v>3879</v>
      </c>
    </row>
    <row r="399" spans="1:15" x14ac:dyDescent="0.35">
      <c r="A399" s="3" t="s">
        <v>286</v>
      </c>
      <c r="B399" s="3" t="s">
        <v>252</v>
      </c>
      <c r="C399" s="3" t="s">
        <v>137</v>
      </c>
      <c r="D399" s="3" t="s">
        <v>165</v>
      </c>
      <c r="E399" s="3" t="s">
        <v>166</v>
      </c>
      <c r="F399" s="3" t="s">
        <v>991</v>
      </c>
      <c r="G399" s="3" t="s">
        <v>992</v>
      </c>
      <c r="H399" s="4">
        <v>33193</v>
      </c>
      <c r="I399" s="6" t="s">
        <v>2370</v>
      </c>
      <c r="J399" s="6" t="s">
        <v>2545</v>
      </c>
      <c r="K399" s="6" t="s">
        <v>2945</v>
      </c>
      <c r="L399" s="6" t="s">
        <v>3278</v>
      </c>
      <c r="M399" s="9" t="s">
        <v>3670</v>
      </c>
      <c r="N399" s="5" t="str">
        <f t="shared" ref="N399" si="387">TEXT(H399,"DD-MMM-YYY")</f>
        <v>16-Nov-1990</v>
      </c>
      <c r="O399" s="6" t="s">
        <v>3880</v>
      </c>
    </row>
    <row r="400" spans="1:15" x14ac:dyDescent="0.35">
      <c r="A400" s="3" t="s">
        <v>289</v>
      </c>
      <c r="B400" s="3" t="s">
        <v>256</v>
      </c>
      <c r="C400" s="3" t="s">
        <v>144</v>
      </c>
      <c r="D400" s="3" t="s">
        <v>171</v>
      </c>
      <c r="E400" s="3" t="s">
        <v>172</v>
      </c>
      <c r="F400" s="3" t="s">
        <v>993</v>
      </c>
      <c r="G400" s="3" t="s">
        <v>994</v>
      </c>
      <c r="H400" s="4">
        <v>33259</v>
      </c>
      <c r="I400" s="6" t="s">
        <v>2371</v>
      </c>
      <c r="J400" s="6" t="s">
        <v>2546</v>
      </c>
      <c r="K400" s="6" t="s">
        <v>2946</v>
      </c>
      <c r="L400" s="6" t="s">
        <v>3262</v>
      </c>
      <c r="M400" s="9" t="s">
        <v>3671</v>
      </c>
      <c r="N400" s="5" t="str">
        <f t="shared" ref="N400" si="388">TEXT(H400, "DD-MMM-YYY")</f>
        <v>21-Jan-1991</v>
      </c>
      <c r="O400" s="6" t="s">
        <v>3881</v>
      </c>
    </row>
    <row r="401" spans="1:15" x14ac:dyDescent="0.35">
      <c r="A401" s="3" t="s">
        <v>292</v>
      </c>
      <c r="B401" s="3" t="s">
        <v>260</v>
      </c>
      <c r="C401" s="3" t="s">
        <v>151</v>
      </c>
      <c r="D401" s="3" t="s">
        <v>162</v>
      </c>
      <c r="E401" s="3" t="s">
        <v>63</v>
      </c>
      <c r="F401" s="3" t="s">
        <v>995</v>
      </c>
      <c r="G401" s="3" t="s">
        <v>996</v>
      </c>
      <c r="H401" s="4">
        <v>33689</v>
      </c>
      <c r="I401" s="6" t="s">
        <v>2372</v>
      </c>
      <c r="J401" s="6" t="s">
        <v>2547</v>
      </c>
      <c r="K401" s="6" t="s">
        <v>2947</v>
      </c>
      <c r="L401" s="6" t="s">
        <v>3279</v>
      </c>
      <c r="M401" s="9" t="s">
        <v>3672</v>
      </c>
      <c r="N401" s="5" t="str">
        <f t="shared" ref="N401" si="389">TEXT(H401,"DD-MMM-YYY")</f>
        <v>26-Mar-1992</v>
      </c>
      <c r="O401" s="6" t="s">
        <v>3882</v>
      </c>
    </row>
    <row r="402" spans="1:15" x14ac:dyDescent="0.35">
      <c r="A402" s="3" t="s">
        <v>295</v>
      </c>
      <c r="B402" s="3" t="s">
        <v>264</v>
      </c>
      <c r="C402" s="3" t="s">
        <v>158</v>
      </c>
      <c r="D402" s="3" t="s">
        <v>181</v>
      </c>
      <c r="E402" s="3" t="s">
        <v>182</v>
      </c>
      <c r="F402" s="3" t="s">
        <v>997</v>
      </c>
      <c r="G402" s="3" t="s">
        <v>998</v>
      </c>
      <c r="H402" s="4">
        <v>34092</v>
      </c>
      <c r="I402" s="6" t="s">
        <v>2373</v>
      </c>
      <c r="J402" s="6" t="s">
        <v>2548</v>
      </c>
      <c r="K402" s="6" t="s">
        <v>2948</v>
      </c>
      <c r="L402" s="6" t="s">
        <v>3280</v>
      </c>
      <c r="M402" s="9" t="s">
        <v>3673</v>
      </c>
      <c r="N402" s="5" t="str">
        <f t="shared" ref="N402" si="390">TEXT(H402, "DD-MMM-YYY")</f>
        <v>03-May-1993</v>
      </c>
      <c r="O402" s="6" t="s">
        <v>3883</v>
      </c>
    </row>
    <row r="403" spans="1:15" x14ac:dyDescent="0.35">
      <c r="A403" s="3" t="s">
        <v>298</v>
      </c>
      <c r="B403" s="3" t="s">
        <v>268</v>
      </c>
      <c r="C403" s="3" t="s">
        <v>164</v>
      </c>
      <c r="D403" s="3" t="s">
        <v>187</v>
      </c>
      <c r="E403" s="3" t="s">
        <v>188</v>
      </c>
      <c r="F403" s="3" t="s">
        <v>999</v>
      </c>
      <c r="G403" s="3" t="s">
        <v>1000</v>
      </c>
      <c r="H403" s="4">
        <v>34523</v>
      </c>
      <c r="I403" s="6" t="s">
        <v>2374</v>
      </c>
      <c r="J403" s="6" t="s">
        <v>2549</v>
      </c>
      <c r="K403" s="6" t="s">
        <v>2949</v>
      </c>
      <c r="L403" s="6" t="s">
        <v>3189</v>
      </c>
      <c r="M403" s="9" t="s">
        <v>3674</v>
      </c>
      <c r="N403" s="5" t="str">
        <f t="shared" ref="N403" si="391">TEXT(H403,"DD-MMM-YYY")</f>
        <v>08-Jul-1994</v>
      </c>
      <c r="O403" s="6" t="s">
        <v>3884</v>
      </c>
    </row>
    <row r="404" spans="1:15" x14ac:dyDescent="0.35">
      <c r="A404" s="3" t="s">
        <v>17</v>
      </c>
      <c r="B404" s="3" t="s">
        <v>18</v>
      </c>
      <c r="C404" s="3" t="s">
        <v>19</v>
      </c>
      <c r="D404" s="3" t="s">
        <v>20</v>
      </c>
      <c r="E404" s="3" t="s">
        <v>21</v>
      </c>
      <c r="F404" s="3" t="s">
        <v>1001</v>
      </c>
      <c r="G404" s="3" t="s">
        <v>1002</v>
      </c>
      <c r="H404" s="4">
        <v>34955</v>
      </c>
      <c r="I404" s="6" t="s">
        <v>24</v>
      </c>
      <c r="J404" s="6" t="s">
        <v>25</v>
      </c>
      <c r="K404" s="6" t="s">
        <v>2950</v>
      </c>
      <c r="L404" s="6" t="s">
        <v>27</v>
      </c>
      <c r="M404" s="9" t="s">
        <v>3675</v>
      </c>
      <c r="N404" s="5" t="str">
        <f t="shared" ref="N404" si="392">TEXT(H404, "DD-MMM-YYY")</f>
        <v>13-Sept-1995</v>
      </c>
      <c r="O404" s="6" t="s">
        <v>30</v>
      </c>
    </row>
    <row r="405" spans="1:15" x14ac:dyDescent="0.35">
      <c r="A405" s="3" t="s">
        <v>31</v>
      </c>
      <c r="B405" s="3" t="s">
        <v>32</v>
      </c>
      <c r="C405" s="3" t="s">
        <v>33</v>
      </c>
      <c r="D405" s="3" t="s">
        <v>34</v>
      </c>
      <c r="E405" s="3" t="s">
        <v>35</v>
      </c>
      <c r="F405" s="3" t="s">
        <v>1003</v>
      </c>
      <c r="G405" s="3" t="s">
        <v>1004</v>
      </c>
      <c r="H405" s="4">
        <v>35387</v>
      </c>
      <c r="I405" s="6" t="s">
        <v>38</v>
      </c>
      <c r="J405" s="6" t="s">
        <v>39</v>
      </c>
      <c r="K405" s="6" t="s">
        <v>2951</v>
      </c>
      <c r="L405" s="6" t="s">
        <v>41</v>
      </c>
      <c r="M405" s="9" t="s">
        <v>3676</v>
      </c>
      <c r="N405" s="5" t="str">
        <f t="shared" ref="N405" si="393">TEXT(H405,"DD-MMM-YYY")</f>
        <v>18-Nov-1996</v>
      </c>
      <c r="O405" s="6" t="s">
        <v>44</v>
      </c>
    </row>
    <row r="406" spans="1:15" x14ac:dyDescent="0.35">
      <c r="A406" s="3" t="s">
        <v>45</v>
      </c>
      <c r="B406" s="3" t="s">
        <v>46</v>
      </c>
      <c r="C406" s="3" t="s">
        <v>47</v>
      </c>
      <c r="D406" s="3" t="s">
        <v>48</v>
      </c>
      <c r="E406" s="3" t="s">
        <v>49</v>
      </c>
      <c r="F406" s="3" t="s">
        <v>1005</v>
      </c>
      <c r="G406" s="3" t="s">
        <v>1006</v>
      </c>
      <c r="H406" s="4">
        <v>35453</v>
      </c>
      <c r="I406" s="6" t="s">
        <v>52</v>
      </c>
      <c r="J406" s="6" t="s">
        <v>53</v>
      </c>
      <c r="K406" s="6" t="s">
        <v>2952</v>
      </c>
      <c r="L406" s="6" t="s">
        <v>55</v>
      </c>
      <c r="M406" s="9" t="s">
        <v>3677</v>
      </c>
      <c r="N406" s="5" t="str">
        <f t="shared" ref="N406" si="394">TEXT(H406, "DD-MMM-YYY")</f>
        <v>23-Jan-1997</v>
      </c>
      <c r="O406" s="6" t="s">
        <v>58</v>
      </c>
    </row>
    <row r="407" spans="1:15" x14ac:dyDescent="0.35">
      <c r="A407" s="3" t="s">
        <v>59</v>
      </c>
      <c r="B407" s="3" t="s">
        <v>60</v>
      </c>
      <c r="C407" s="3" t="s">
        <v>61</v>
      </c>
      <c r="D407" s="3" t="s">
        <v>62</v>
      </c>
      <c r="E407" s="3" t="s">
        <v>63</v>
      </c>
      <c r="F407" s="3" t="s">
        <v>1007</v>
      </c>
      <c r="G407" s="3" t="s">
        <v>1008</v>
      </c>
      <c r="H407" s="4">
        <v>35882</v>
      </c>
      <c r="I407" s="6" t="s">
        <v>66</v>
      </c>
      <c r="J407" s="6" t="s">
        <v>67</v>
      </c>
      <c r="K407" s="6" t="s">
        <v>2953</v>
      </c>
      <c r="L407" s="6" t="s">
        <v>69</v>
      </c>
      <c r="M407" s="9" t="s">
        <v>3678</v>
      </c>
      <c r="N407" s="5" t="str">
        <f t="shared" ref="N407" si="395">TEXT(H407,"DD-MMM-YYY")</f>
        <v>28-Mar-1998</v>
      </c>
      <c r="O407" s="6" t="s">
        <v>72</v>
      </c>
    </row>
    <row r="408" spans="1:15" x14ac:dyDescent="0.35">
      <c r="A408" s="3" t="s">
        <v>73</v>
      </c>
      <c r="B408" s="3" t="s">
        <v>74</v>
      </c>
      <c r="C408" s="3" t="s">
        <v>75</v>
      </c>
      <c r="D408" s="3" t="s">
        <v>76</v>
      </c>
      <c r="E408" s="3" t="s">
        <v>77</v>
      </c>
      <c r="F408" s="3" t="s">
        <v>1009</v>
      </c>
      <c r="G408" s="3" t="s">
        <v>1010</v>
      </c>
      <c r="H408" s="4">
        <v>36285</v>
      </c>
      <c r="I408" s="6" t="s">
        <v>80</v>
      </c>
      <c r="J408" s="6" t="s">
        <v>81</v>
      </c>
      <c r="K408" s="6" t="s">
        <v>2954</v>
      </c>
      <c r="L408" s="6" t="s">
        <v>83</v>
      </c>
      <c r="M408" s="9" t="s">
        <v>3679</v>
      </c>
      <c r="N408" s="5" t="str">
        <f t="shared" ref="N408" si="396">TEXT(H408, "DD-MMM-YYY")</f>
        <v>05-May-1999</v>
      </c>
      <c r="O408" s="6" t="s">
        <v>86</v>
      </c>
    </row>
    <row r="409" spans="1:15" x14ac:dyDescent="0.35">
      <c r="A409" s="3" t="s">
        <v>87</v>
      </c>
      <c r="B409" s="3" t="s">
        <v>88</v>
      </c>
      <c r="C409" s="3" t="s">
        <v>89</v>
      </c>
      <c r="D409" s="3" t="s">
        <v>90</v>
      </c>
      <c r="E409" s="3" t="s">
        <v>91</v>
      </c>
      <c r="F409" s="3" t="s">
        <v>1011</v>
      </c>
      <c r="G409" s="3" t="s">
        <v>1012</v>
      </c>
      <c r="H409" s="4">
        <v>31238</v>
      </c>
      <c r="I409" s="6" t="s">
        <v>94</v>
      </c>
      <c r="J409" s="6" t="s">
        <v>95</v>
      </c>
      <c r="K409" s="6" t="s">
        <v>2955</v>
      </c>
      <c r="L409" s="6" t="s">
        <v>97</v>
      </c>
      <c r="M409" s="9" t="s">
        <v>3680</v>
      </c>
      <c r="N409" s="5" t="str">
        <f t="shared" ref="N409" si="397">TEXT(H409,"DD-MMM-YYY")</f>
        <v>10-Jul-1985</v>
      </c>
      <c r="O409" s="6" t="s">
        <v>100</v>
      </c>
    </row>
    <row r="410" spans="1:15" x14ac:dyDescent="0.35">
      <c r="A410" s="3" t="s">
        <v>101</v>
      </c>
      <c r="B410" s="3" t="s">
        <v>102</v>
      </c>
      <c r="C410" s="3" t="s">
        <v>103</v>
      </c>
      <c r="D410" s="3" t="s">
        <v>104</v>
      </c>
      <c r="E410" s="3" t="s">
        <v>105</v>
      </c>
      <c r="F410" s="3" t="s">
        <v>1013</v>
      </c>
      <c r="G410" s="3" t="s">
        <v>1014</v>
      </c>
      <c r="H410" s="4">
        <v>31670</v>
      </c>
      <c r="I410" s="6" t="s">
        <v>2181</v>
      </c>
      <c r="J410" s="6" t="s">
        <v>2375</v>
      </c>
      <c r="K410" s="6" t="s">
        <v>2956</v>
      </c>
      <c r="L410" s="6" t="s">
        <v>3150</v>
      </c>
      <c r="M410" s="9" t="s">
        <v>3681</v>
      </c>
      <c r="N410" s="5" t="str">
        <f t="shared" ref="N410" si="398">TEXT(H410, "DD-MMM-YYY")</f>
        <v>15-Sept-1986</v>
      </c>
      <c r="O410" s="6" t="s">
        <v>3875</v>
      </c>
    </row>
    <row r="411" spans="1:15" x14ac:dyDescent="0.35">
      <c r="A411" s="3" t="s">
        <v>108</v>
      </c>
      <c r="B411" s="3" t="s">
        <v>109</v>
      </c>
      <c r="C411" s="3" t="s">
        <v>110</v>
      </c>
      <c r="D411" s="3" t="s">
        <v>111</v>
      </c>
      <c r="E411" s="3" t="s">
        <v>112</v>
      </c>
      <c r="F411" s="3" t="s">
        <v>1015</v>
      </c>
      <c r="G411" s="3" t="s">
        <v>1016</v>
      </c>
      <c r="H411" s="4">
        <v>32101</v>
      </c>
      <c r="I411" s="6" t="s">
        <v>2182</v>
      </c>
      <c r="J411" s="6" t="s">
        <v>2376</v>
      </c>
      <c r="K411" s="6" t="s">
        <v>2957</v>
      </c>
      <c r="L411" s="6" t="s">
        <v>3151</v>
      </c>
      <c r="M411" s="9" t="s">
        <v>3682</v>
      </c>
      <c r="N411" s="5" t="str">
        <f t="shared" ref="N411" si="399">TEXT(H411,"DD-MMM-YYY")</f>
        <v>20-Nov-1987</v>
      </c>
      <c r="O411" s="6" t="s">
        <v>3876</v>
      </c>
    </row>
    <row r="412" spans="1:15" x14ac:dyDescent="0.35">
      <c r="A412" s="3" t="s">
        <v>115</v>
      </c>
      <c r="B412" s="3" t="s">
        <v>116</v>
      </c>
      <c r="C412" s="3" t="s">
        <v>117</v>
      </c>
      <c r="D412" s="3" t="s">
        <v>118</v>
      </c>
      <c r="E412" s="3" t="s">
        <v>119</v>
      </c>
      <c r="F412" s="3" t="s">
        <v>1017</v>
      </c>
      <c r="G412" s="3" t="s">
        <v>1018</v>
      </c>
      <c r="H412" s="4">
        <v>32167</v>
      </c>
      <c r="I412" s="6" t="s">
        <v>2183</v>
      </c>
      <c r="J412" s="6" t="s">
        <v>2377</v>
      </c>
      <c r="K412" s="6" t="s">
        <v>2958</v>
      </c>
      <c r="L412" s="6" t="s">
        <v>3152</v>
      </c>
      <c r="M412" s="9" t="s">
        <v>3683</v>
      </c>
      <c r="N412" s="5" t="str">
        <f t="shared" ref="N412" si="400">TEXT(H412, "DD-MMM-YYY")</f>
        <v>25-Jan-1988</v>
      </c>
      <c r="O412" s="6" t="s">
        <v>3877</v>
      </c>
    </row>
    <row r="413" spans="1:15" x14ac:dyDescent="0.35">
      <c r="A413" s="3" t="s">
        <v>122</v>
      </c>
      <c r="B413" s="3" t="s">
        <v>123</v>
      </c>
      <c r="C413" s="3" t="s">
        <v>124</v>
      </c>
      <c r="D413" s="3" t="s">
        <v>125</v>
      </c>
      <c r="E413" s="3" t="s">
        <v>126</v>
      </c>
      <c r="F413" s="3" t="s">
        <v>1019</v>
      </c>
      <c r="G413" s="3" t="s">
        <v>1020</v>
      </c>
      <c r="H413" s="4">
        <v>32569</v>
      </c>
      <c r="I413" s="6" t="s">
        <v>2184</v>
      </c>
      <c r="J413" s="6" t="s">
        <v>2378</v>
      </c>
      <c r="K413" s="6" t="s">
        <v>2959</v>
      </c>
      <c r="L413" s="6" t="s">
        <v>3153</v>
      </c>
      <c r="M413" s="9" t="s">
        <v>3684</v>
      </c>
      <c r="N413" s="5" t="str">
        <f t="shared" ref="N413" si="401">TEXT(H413,"DD-MMM-YYY")</f>
        <v>02-Mar-1989</v>
      </c>
      <c r="O413" s="6" t="s">
        <v>3878</v>
      </c>
    </row>
    <row r="414" spans="1:15" x14ac:dyDescent="0.35">
      <c r="A414" s="3" t="s">
        <v>129</v>
      </c>
      <c r="B414" s="3" t="s">
        <v>130</v>
      </c>
      <c r="C414" s="3" t="s">
        <v>131</v>
      </c>
      <c r="D414" s="3" t="s">
        <v>132</v>
      </c>
      <c r="E414" s="3" t="s">
        <v>126</v>
      </c>
      <c r="F414" s="3" t="s">
        <v>1021</v>
      </c>
      <c r="G414" s="3" t="s">
        <v>1022</v>
      </c>
      <c r="H414" s="4">
        <v>33000</v>
      </c>
      <c r="I414" s="6" t="s">
        <v>2185</v>
      </c>
      <c r="J414" s="6" t="s">
        <v>2379</v>
      </c>
      <c r="K414" s="6" t="s">
        <v>2960</v>
      </c>
      <c r="L414" s="6" t="s">
        <v>3151</v>
      </c>
      <c r="M414" s="9" t="s">
        <v>3685</v>
      </c>
      <c r="N414" s="5" t="str">
        <f t="shared" ref="N414" si="402">TEXT(H414, "DD-MMM-YYY")</f>
        <v>07-May-1990</v>
      </c>
      <c r="O414" s="6" t="s">
        <v>3879</v>
      </c>
    </row>
    <row r="415" spans="1:15" x14ac:dyDescent="0.35">
      <c r="A415" s="3" t="s">
        <v>135</v>
      </c>
      <c r="B415" s="3" t="s">
        <v>136</v>
      </c>
      <c r="C415" s="3" t="s">
        <v>137</v>
      </c>
      <c r="D415" s="3" t="s">
        <v>138</v>
      </c>
      <c r="E415" s="3" t="s">
        <v>139</v>
      </c>
      <c r="F415" s="3" t="s">
        <v>1023</v>
      </c>
      <c r="G415" s="3" t="s">
        <v>1024</v>
      </c>
      <c r="H415" s="4">
        <v>33431</v>
      </c>
      <c r="I415" s="6" t="s">
        <v>2186</v>
      </c>
      <c r="J415" s="6" t="s">
        <v>1613</v>
      </c>
      <c r="K415" s="6" t="s">
        <v>2961</v>
      </c>
      <c r="L415" s="6" t="s">
        <v>3154</v>
      </c>
      <c r="M415" s="9" t="s">
        <v>3686</v>
      </c>
      <c r="N415" s="5" t="str">
        <f t="shared" ref="N415" si="403">TEXT(H415,"DD-MMM-YYY")</f>
        <v>12-Jul-1991</v>
      </c>
      <c r="O415" s="6" t="s">
        <v>3880</v>
      </c>
    </row>
    <row r="416" spans="1:15" x14ac:dyDescent="0.35">
      <c r="A416" s="3" t="s">
        <v>142</v>
      </c>
      <c r="B416" s="3" t="s">
        <v>143</v>
      </c>
      <c r="C416" s="3" t="s">
        <v>144</v>
      </c>
      <c r="D416" s="3" t="s">
        <v>145</v>
      </c>
      <c r="E416" s="3" t="s">
        <v>146</v>
      </c>
      <c r="F416" s="3" t="s">
        <v>1025</v>
      </c>
      <c r="G416" s="3" t="s">
        <v>1026</v>
      </c>
      <c r="H416" s="4">
        <v>33864</v>
      </c>
      <c r="I416" s="6" t="s">
        <v>2187</v>
      </c>
      <c r="J416" s="6" t="s">
        <v>2380</v>
      </c>
      <c r="K416" s="6" t="s">
        <v>2962</v>
      </c>
      <c r="L416" s="6" t="s">
        <v>3155</v>
      </c>
      <c r="M416" s="9" t="s">
        <v>3687</v>
      </c>
      <c r="N416" s="5" t="str">
        <f t="shared" ref="N416" si="404">TEXT(H416, "DD-MMM-YYY")</f>
        <v>17-Sept-1992</v>
      </c>
      <c r="O416" s="6" t="s">
        <v>3881</v>
      </c>
    </row>
    <row r="417" spans="1:15" x14ac:dyDescent="0.35">
      <c r="A417" s="3" t="s">
        <v>149</v>
      </c>
      <c r="B417" s="3" t="s">
        <v>150</v>
      </c>
      <c r="C417" s="3" t="s">
        <v>151</v>
      </c>
      <c r="D417" s="3" t="s">
        <v>152</v>
      </c>
      <c r="E417" s="3" t="s">
        <v>153</v>
      </c>
      <c r="F417" s="3" t="s">
        <v>1027</v>
      </c>
      <c r="G417" s="3" t="s">
        <v>1028</v>
      </c>
      <c r="H417" s="4">
        <v>34295</v>
      </c>
      <c r="I417" s="6" t="s">
        <v>2188</v>
      </c>
      <c r="J417" s="6" t="s">
        <v>2381</v>
      </c>
      <c r="K417" s="6" t="s">
        <v>2963</v>
      </c>
      <c r="L417" s="6" t="s">
        <v>3156</v>
      </c>
      <c r="M417" s="9" t="s">
        <v>3688</v>
      </c>
      <c r="N417" s="5" t="str">
        <f t="shared" ref="N417" si="405">TEXT(H417,"DD-MMM-YYY")</f>
        <v>22-Nov-1993</v>
      </c>
      <c r="O417" s="6" t="s">
        <v>3882</v>
      </c>
    </row>
    <row r="418" spans="1:15" x14ac:dyDescent="0.35">
      <c r="A418" s="3" t="s">
        <v>156</v>
      </c>
      <c r="B418" s="3" t="s">
        <v>157</v>
      </c>
      <c r="C418" s="3" t="s">
        <v>158</v>
      </c>
      <c r="D418" s="3" t="s">
        <v>159</v>
      </c>
      <c r="E418" s="3" t="s">
        <v>77</v>
      </c>
      <c r="F418" s="3" t="s">
        <v>1029</v>
      </c>
      <c r="G418" s="3" t="s">
        <v>1030</v>
      </c>
      <c r="H418" s="4">
        <v>34361</v>
      </c>
      <c r="I418" s="6" t="s">
        <v>2189</v>
      </c>
      <c r="J418" s="6" t="s">
        <v>2382</v>
      </c>
      <c r="K418" s="6" t="s">
        <v>2964</v>
      </c>
      <c r="L418" s="6" t="s">
        <v>3157</v>
      </c>
      <c r="M418" s="9" t="s">
        <v>3689</v>
      </c>
      <c r="N418" s="5" t="str">
        <f t="shared" ref="N418" si="406">TEXT(H418, "DD-MMM-YYY")</f>
        <v>27-Jan-1994</v>
      </c>
      <c r="O418" s="6" t="s">
        <v>3883</v>
      </c>
    </row>
    <row r="419" spans="1:15" x14ac:dyDescent="0.35">
      <c r="A419" s="3" t="s">
        <v>162</v>
      </c>
      <c r="B419" s="3" t="s">
        <v>163</v>
      </c>
      <c r="C419" s="3" t="s">
        <v>164</v>
      </c>
      <c r="D419" s="3" t="s">
        <v>165</v>
      </c>
      <c r="E419" s="3" t="s">
        <v>166</v>
      </c>
      <c r="F419" s="3" t="s">
        <v>1031</v>
      </c>
      <c r="G419" s="3" t="s">
        <v>1032</v>
      </c>
      <c r="H419" s="4">
        <v>34762</v>
      </c>
      <c r="I419" s="6" t="s">
        <v>2190</v>
      </c>
      <c r="J419" s="6" t="s">
        <v>2383</v>
      </c>
      <c r="K419" s="6" t="s">
        <v>2965</v>
      </c>
      <c r="L419" s="6" t="s">
        <v>3158</v>
      </c>
      <c r="M419" s="9" t="s">
        <v>3690</v>
      </c>
      <c r="N419" s="5" t="str">
        <f t="shared" ref="N419" si="407">TEXT(H419,"DD-MMM-YYY")</f>
        <v>04-Mar-1995</v>
      </c>
      <c r="O419" s="6" t="s">
        <v>3884</v>
      </c>
    </row>
    <row r="420" spans="1:15" x14ac:dyDescent="0.35">
      <c r="A420" s="3" t="s">
        <v>169</v>
      </c>
      <c r="B420" s="3" t="s">
        <v>170</v>
      </c>
      <c r="C420" s="3" t="s">
        <v>19</v>
      </c>
      <c r="D420" s="3" t="s">
        <v>171</v>
      </c>
      <c r="E420" s="3" t="s">
        <v>172</v>
      </c>
      <c r="F420" s="3" t="s">
        <v>1033</v>
      </c>
      <c r="G420" s="3" t="s">
        <v>1034</v>
      </c>
      <c r="H420" s="4">
        <v>35194</v>
      </c>
      <c r="I420" s="6" t="s">
        <v>2191</v>
      </c>
      <c r="J420" s="6" t="s">
        <v>2384</v>
      </c>
      <c r="K420" s="6" t="s">
        <v>2966</v>
      </c>
      <c r="L420" s="6" t="s">
        <v>3159</v>
      </c>
      <c r="M420" s="9" t="s">
        <v>3691</v>
      </c>
      <c r="N420" s="5" t="str">
        <f t="shared" ref="N420" si="408">TEXT(H420, "DD-MMM-YYY")</f>
        <v>09-May-1996</v>
      </c>
      <c r="O420" s="6" t="s">
        <v>30</v>
      </c>
    </row>
    <row r="421" spans="1:15" x14ac:dyDescent="0.35">
      <c r="A421" s="3" t="s">
        <v>175</v>
      </c>
      <c r="B421" s="3" t="s">
        <v>176</v>
      </c>
      <c r="C421" s="3" t="s">
        <v>33</v>
      </c>
      <c r="D421" s="3" t="s">
        <v>162</v>
      </c>
      <c r="E421" s="3" t="s">
        <v>63</v>
      </c>
      <c r="F421" s="3" t="s">
        <v>1035</v>
      </c>
      <c r="G421" s="3" t="s">
        <v>1036</v>
      </c>
      <c r="H421" s="4">
        <v>35625</v>
      </c>
      <c r="I421" s="6" t="s">
        <v>2192</v>
      </c>
      <c r="J421" s="6" t="s">
        <v>2385</v>
      </c>
      <c r="K421" s="6" t="s">
        <v>2967</v>
      </c>
      <c r="L421" s="6" t="s">
        <v>3160</v>
      </c>
      <c r="M421" s="9" t="s">
        <v>3692</v>
      </c>
      <c r="N421" s="5" t="str">
        <f t="shared" ref="N421" si="409">TEXT(H421,"DD-MMM-YYY")</f>
        <v>14-Jul-1997</v>
      </c>
      <c r="O421" s="6" t="s">
        <v>44</v>
      </c>
    </row>
    <row r="422" spans="1:15" x14ac:dyDescent="0.35">
      <c r="A422" s="3" t="s">
        <v>179</v>
      </c>
      <c r="B422" s="3" t="s">
        <v>180</v>
      </c>
      <c r="C422" s="3" t="s">
        <v>47</v>
      </c>
      <c r="D422" s="3" t="s">
        <v>181</v>
      </c>
      <c r="E422" s="3" t="s">
        <v>182</v>
      </c>
      <c r="F422" s="3" t="s">
        <v>1037</v>
      </c>
      <c r="G422" s="3" t="s">
        <v>1038</v>
      </c>
      <c r="H422" s="4">
        <v>36057</v>
      </c>
      <c r="I422" s="6" t="s">
        <v>2193</v>
      </c>
      <c r="J422" s="6" t="s">
        <v>2386</v>
      </c>
      <c r="K422" s="6" t="s">
        <v>2968</v>
      </c>
      <c r="L422" s="6" t="s">
        <v>27</v>
      </c>
      <c r="M422" s="9" t="s">
        <v>3693</v>
      </c>
      <c r="N422" s="5" t="str">
        <f t="shared" ref="N422" si="410">TEXT(H422, "DD-MMM-YYY")</f>
        <v>19-Sept-1998</v>
      </c>
      <c r="O422" s="6" t="s">
        <v>58</v>
      </c>
    </row>
    <row r="423" spans="1:15" x14ac:dyDescent="0.35">
      <c r="A423" s="3" t="s">
        <v>185</v>
      </c>
      <c r="B423" s="3" t="s">
        <v>186</v>
      </c>
      <c r="C423" s="3" t="s">
        <v>61</v>
      </c>
      <c r="D423" s="3" t="s">
        <v>187</v>
      </c>
      <c r="E423" s="3" t="s">
        <v>188</v>
      </c>
      <c r="F423" s="3" t="s">
        <v>1039</v>
      </c>
      <c r="G423" s="3" t="s">
        <v>1040</v>
      </c>
      <c r="H423" s="4">
        <v>36488</v>
      </c>
      <c r="I423" s="6" t="s">
        <v>2194</v>
      </c>
      <c r="J423" s="6" t="s">
        <v>2387</v>
      </c>
      <c r="K423" s="6" t="s">
        <v>2969</v>
      </c>
      <c r="L423" s="6" t="s">
        <v>3161</v>
      </c>
      <c r="M423" s="9" t="s">
        <v>3694</v>
      </c>
      <c r="N423" s="5" t="str">
        <f t="shared" ref="N423" si="411">TEXT(H423,"DD-MMM-YYY")</f>
        <v>24-Nov-1999</v>
      </c>
      <c r="O423" s="6" t="s">
        <v>72</v>
      </c>
    </row>
    <row r="424" spans="1:15" x14ac:dyDescent="0.35">
      <c r="A424" s="3" t="s">
        <v>191</v>
      </c>
      <c r="B424" s="3" t="s">
        <v>192</v>
      </c>
      <c r="C424" s="3" t="s">
        <v>75</v>
      </c>
      <c r="D424" s="3" t="s">
        <v>20</v>
      </c>
      <c r="E424" s="3" t="s">
        <v>21</v>
      </c>
      <c r="F424" s="3" t="s">
        <v>1041</v>
      </c>
      <c r="G424" s="3" t="s">
        <v>1042</v>
      </c>
      <c r="H424" s="4">
        <v>31048</v>
      </c>
      <c r="I424" s="6" t="s">
        <v>2195</v>
      </c>
      <c r="J424" s="6" t="s">
        <v>2388</v>
      </c>
      <c r="K424" s="6" t="s">
        <v>2970</v>
      </c>
      <c r="L424" s="6" t="s">
        <v>3162</v>
      </c>
      <c r="M424" s="9" t="s">
        <v>3695</v>
      </c>
      <c r="N424" s="5" t="str">
        <f t="shared" ref="N424" si="412">TEXT(H424, "DD-MMM-YYY")</f>
        <v>01-Jan-1985</v>
      </c>
      <c r="O424" s="6" t="s">
        <v>86</v>
      </c>
    </row>
    <row r="425" spans="1:15" x14ac:dyDescent="0.35">
      <c r="A425" s="3" t="s">
        <v>195</v>
      </c>
      <c r="B425" s="3" t="s">
        <v>196</v>
      </c>
      <c r="C425" s="3" t="s">
        <v>89</v>
      </c>
      <c r="D425" s="3" t="s">
        <v>34</v>
      </c>
      <c r="E425" s="3" t="s">
        <v>35</v>
      </c>
      <c r="F425" s="3" t="s">
        <v>1043</v>
      </c>
      <c r="G425" s="3" t="s">
        <v>1044</v>
      </c>
      <c r="H425" s="4">
        <v>31477</v>
      </c>
      <c r="I425" s="6" t="s">
        <v>2196</v>
      </c>
      <c r="J425" s="6" t="s">
        <v>1528</v>
      </c>
      <c r="K425" s="6" t="s">
        <v>2971</v>
      </c>
      <c r="L425" s="6" t="s">
        <v>3163</v>
      </c>
      <c r="M425" s="9" t="s">
        <v>3696</v>
      </c>
      <c r="N425" s="5" t="str">
        <f t="shared" ref="N425" si="413">TEXT(H425,"DD-MMM-YYY")</f>
        <v>06-Mar-1986</v>
      </c>
      <c r="O425" s="6" t="s">
        <v>100</v>
      </c>
    </row>
    <row r="426" spans="1:15" x14ac:dyDescent="0.35">
      <c r="A426" s="3" t="s">
        <v>199</v>
      </c>
      <c r="B426" s="3" t="s">
        <v>200</v>
      </c>
      <c r="C426" s="3" t="s">
        <v>103</v>
      </c>
      <c r="D426" s="3" t="s">
        <v>48</v>
      </c>
      <c r="E426" s="3" t="s">
        <v>49</v>
      </c>
      <c r="F426" s="3" t="s">
        <v>1045</v>
      </c>
      <c r="G426" s="3" t="s">
        <v>1046</v>
      </c>
      <c r="H426" s="4">
        <v>31908</v>
      </c>
      <c r="I426" s="6" t="s">
        <v>2197</v>
      </c>
      <c r="J426" s="6" t="s">
        <v>2389</v>
      </c>
      <c r="K426" s="6" t="s">
        <v>2972</v>
      </c>
      <c r="L426" s="6" t="s">
        <v>97</v>
      </c>
      <c r="M426" s="9" t="s">
        <v>3697</v>
      </c>
      <c r="N426" s="5" t="str">
        <f t="shared" ref="N426" si="414">TEXT(H426, "DD-MMM-YYY")</f>
        <v>11-May-1987</v>
      </c>
      <c r="O426" s="6" t="s">
        <v>3875</v>
      </c>
    </row>
    <row r="427" spans="1:15" x14ac:dyDescent="0.35">
      <c r="A427" s="3" t="s">
        <v>203</v>
      </c>
      <c r="B427" s="3" t="s">
        <v>204</v>
      </c>
      <c r="C427" s="3" t="s">
        <v>110</v>
      </c>
      <c r="D427" s="3" t="s">
        <v>62</v>
      </c>
      <c r="E427" s="3" t="s">
        <v>63</v>
      </c>
      <c r="F427" s="3" t="s">
        <v>1047</v>
      </c>
      <c r="G427" s="3" t="s">
        <v>1048</v>
      </c>
      <c r="H427" s="4">
        <v>32340</v>
      </c>
      <c r="I427" s="6" t="s">
        <v>2198</v>
      </c>
      <c r="J427" s="6" t="s">
        <v>2390</v>
      </c>
      <c r="K427" s="6" t="s">
        <v>2973</v>
      </c>
      <c r="L427" s="6" t="s">
        <v>3164</v>
      </c>
      <c r="M427" s="9" t="s">
        <v>3698</v>
      </c>
      <c r="N427" s="5" t="str">
        <f t="shared" ref="N427" si="415">TEXT(H427,"DD-MMM-YYY")</f>
        <v>16-Jul-1988</v>
      </c>
      <c r="O427" s="6" t="s">
        <v>3876</v>
      </c>
    </row>
    <row r="428" spans="1:15" x14ac:dyDescent="0.35">
      <c r="A428" s="3" t="s">
        <v>207</v>
      </c>
      <c r="B428" s="3" t="s">
        <v>208</v>
      </c>
      <c r="C428" s="3" t="s">
        <v>117</v>
      </c>
      <c r="D428" s="3" t="s">
        <v>76</v>
      </c>
      <c r="E428" s="3" t="s">
        <v>77</v>
      </c>
      <c r="F428" s="3" t="s">
        <v>1049</v>
      </c>
      <c r="G428" s="3" t="s">
        <v>1050</v>
      </c>
      <c r="H428" s="4">
        <v>32772</v>
      </c>
      <c r="I428" s="6" t="s">
        <v>2199</v>
      </c>
      <c r="J428" s="6" t="s">
        <v>2391</v>
      </c>
      <c r="K428" s="6" t="s">
        <v>2974</v>
      </c>
      <c r="L428" s="6" t="s">
        <v>3165</v>
      </c>
      <c r="M428" s="9" t="s">
        <v>3699</v>
      </c>
      <c r="N428" s="5" t="str">
        <f t="shared" ref="N428" si="416">TEXT(H428, "DD-MMM-YYY")</f>
        <v>21-Sept-1989</v>
      </c>
      <c r="O428" s="6" t="s">
        <v>3877</v>
      </c>
    </row>
    <row r="429" spans="1:15" x14ac:dyDescent="0.35">
      <c r="A429" s="3" t="s">
        <v>211</v>
      </c>
      <c r="B429" s="3" t="s">
        <v>212</v>
      </c>
      <c r="C429" s="3" t="s">
        <v>124</v>
      </c>
      <c r="D429" s="3" t="s">
        <v>90</v>
      </c>
      <c r="E429" s="3" t="s">
        <v>91</v>
      </c>
      <c r="F429" s="3" t="s">
        <v>1051</v>
      </c>
      <c r="G429" s="3" t="s">
        <v>1052</v>
      </c>
      <c r="H429" s="4">
        <v>33203</v>
      </c>
      <c r="I429" s="6" t="s">
        <v>2200</v>
      </c>
      <c r="J429" s="6" t="s">
        <v>2392</v>
      </c>
      <c r="K429" s="6" t="s">
        <v>2975</v>
      </c>
      <c r="L429" s="6" t="s">
        <v>3166</v>
      </c>
      <c r="M429" s="9" t="s">
        <v>3700</v>
      </c>
      <c r="N429" s="5" t="str">
        <f t="shared" ref="N429" si="417">TEXT(H429,"DD-MMM-YYY")</f>
        <v>26-Nov-1990</v>
      </c>
      <c r="O429" s="6" t="s">
        <v>3878</v>
      </c>
    </row>
    <row r="430" spans="1:15" x14ac:dyDescent="0.35">
      <c r="A430" s="3" t="s">
        <v>215</v>
      </c>
      <c r="B430" s="3" t="s">
        <v>216</v>
      </c>
      <c r="C430" s="3" t="s">
        <v>131</v>
      </c>
      <c r="D430" s="3" t="s">
        <v>104</v>
      </c>
      <c r="E430" s="3" t="s">
        <v>105</v>
      </c>
      <c r="F430" s="3" t="s">
        <v>1053</v>
      </c>
      <c r="G430" s="3" t="s">
        <v>1054</v>
      </c>
      <c r="H430" s="4">
        <v>33241</v>
      </c>
      <c r="I430" s="6" t="s">
        <v>2201</v>
      </c>
      <c r="J430" s="6" t="s">
        <v>2393</v>
      </c>
      <c r="K430" s="6" t="s">
        <v>2976</v>
      </c>
      <c r="L430" s="6" t="s">
        <v>41</v>
      </c>
      <c r="M430" s="9" t="s">
        <v>3701</v>
      </c>
      <c r="N430" s="5" t="str">
        <f t="shared" ref="N430" si="418">TEXT(H430, "DD-MMM-YYY")</f>
        <v>03-Jan-1991</v>
      </c>
      <c r="O430" s="6" t="s">
        <v>3879</v>
      </c>
    </row>
    <row r="431" spans="1:15" x14ac:dyDescent="0.35">
      <c r="A431" s="3" t="s">
        <v>219</v>
      </c>
      <c r="B431" s="3" t="s">
        <v>220</v>
      </c>
      <c r="C431" s="3" t="s">
        <v>137</v>
      </c>
      <c r="D431" s="3" t="s">
        <v>111</v>
      </c>
      <c r="E431" s="3" t="s">
        <v>112</v>
      </c>
      <c r="F431" s="3" t="s">
        <v>1055</v>
      </c>
      <c r="G431" s="3" t="s">
        <v>1056</v>
      </c>
      <c r="H431" s="4">
        <v>33671</v>
      </c>
      <c r="I431" s="6" t="s">
        <v>2202</v>
      </c>
      <c r="J431" s="6" t="s">
        <v>2394</v>
      </c>
      <c r="K431" s="6" t="s">
        <v>2977</v>
      </c>
      <c r="L431" s="6" t="s">
        <v>3167</v>
      </c>
      <c r="M431" s="9" t="s">
        <v>3702</v>
      </c>
      <c r="N431" s="5" t="str">
        <f t="shared" ref="N431" si="419">TEXT(H431,"DD-MMM-YYY")</f>
        <v>08-Mar-1992</v>
      </c>
      <c r="O431" s="6" t="s">
        <v>3880</v>
      </c>
    </row>
    <row r="432" spans="1:15" x14ac:dyDescent="0.35">
      <c r="A432" s="3" t="s">
        <v>223</v>
      </c>
      <c r="B432" s="3" t="s">
        <v>224</v>
      </c>
      <c r="C432" s="3" t="s">
        <v>144</v>
      </c>
      <c r="D432" s="3" t="s">
        <v>118</v>
      </c>
      <c r="E432" s="3" t="s">
        <v>119</v>
      </c>
      <c r="F432" s="3" t="s">
        <v>1057</v>
      </c>
      <c r="G432" s="3" t="s">
        <v>1058</v>
      </c>
      <c r="H432" s="4">
        <v>34102</v>
      </c>
      <c r="I432" s="6" t="s">
        <v>2203</v>
      </c>
      <c r="J432" s="6" t="s">
        <v>2395</v>
      </c>
      <c r="K432" s="6" t="s">
        <v>2978</v>
      </c>
      <c r="L432" s="6" t="s">
        <v>3168</v>
      </c>
      <c r="M432" s="9" t="s">
        <v>3703</v>
      </c>
      <c r="N432" s="5" t="str">
        <f t="shared" ref="N432" si="420">TEXT(H432, "DD-MMM-YYY")</f>
        <v>13-May-1993</v>
      </c>
      <c r="O432" s="6" t="s">
        <v>3881</v>
      </c>
    </row>
    <row r="433" spans="1:15" x14ac:dyDescent="0.35">
      <c r="A433" s="3" t="s">
        <v>227</v>
      </c>
      <c r="B433" s="3" t="s">
        <v>228</v>
      </c>
      <c r="C433" s="3" t="s">
        <v>151</v>
      </c>
      <c r="D433" s="3" t="s">
        <v>125</v>
      </c>
      <c r="E433" s="3" t="s">
        <v>126</v>
      </c>
      <c r="F433" s="3" t="s">
        <v>1059</v>
      </c>
      <c r="G433" s="3" t="s">
        <v>1060</v>
      </c>
      <c r="H433" s="4">
        <v>34533</v>
      </c>
      <c r="I433" s="6" t="s">
        <v>2204</v>
      </c>
      <c r="J433" s="6" t="s">
        <v>2396</v>
      </c>
      <c r="K433" s="6" t="s">
        <v>2979</v>
      </c>
      <c r="L433" s="6" t="s">
        <v>3169</v>
      </c>
      <c r="M433" s="9" t="s">
        <v>3704</v>
      </c>
      <c r="N433" s="5" t="str">
        <f t="shared" ref="N433" si="421">TEXT(H433,"DD-MMM-YYY")</f>
        <v>18-Jul-1994</v>
      </c>
      <c r="O433" s="6" t="s">
        <v>3882</v>
      </c>
    </row>
    <row r="434" spans="1:15" x14ac:dyDescent="0.35">
      <c r="A434" s="3" t="s">
        <v>231</v>
      </c>
      <c r="B434" s="3" t="s">
        <v>232</v>
      </c>
      <c r="C434" s="3" t="s">
        <v>158</v>
      </c>
      <c r="D434" s="3" t="s">
        <v>132</v>
      </c>
      <c r="E434" s="3" t="s">
        <v>126</v>
      </c>
      <c r="F434" s="3" t="s">
        <v>1061</v>
      </c>
      <c r="G434" s="3" t="s">
        <v>1062</v>
      </c>
      <c r="H434" s="4">
        <v>34965</v>
      </c>
      <c r="I434" s="6" t="s">
        <v>2205</v>
      </c>
      <c r="J434" s="6" t="s">
        <v>2397</v>
      </c>
      <c r="K434" s="6" t="s">
        <v>2980</v>
      </c>
      <c r="L434" s="6" t="s">
        <v>3170</v>
      </c>
      <c r="M434" s="9" t="s">
        <v>3705</v>
      </c>
      <c r="N434" s="5" t="str">
        <f t="shared" ref="N434" si="422">TEXT(H434, "DD-MMM-YYY")</f>
        <v>23-Sept-1995</v>
      </c>
      <c r="O434" s="6" t="s">
        <v>3883</v>
      </c>
    </row>
    <row r="435" spans="1:15" x14ac:dyDescent="0.35">
      <c r="A435" s="3" t="s">
        <v>235</v>
      </c>
      <c r="B435" s="3" t="s">
        <v>236</v>
      </c>
      <c r="C435" s="3" t="s">
        <v>164</v>
      </c>
      <c r="D435" s="3" t="s">
        <v>138</v>
      </c>
      <c r="E435" s="3" t="s">
        <v>139</v>
      </c>
      <c r="F435" s="3" t="s">
        <v>1063</v>
      </c>
      <c r="G435" s="3" t="s">
        <v>1064</v>
      </c>
      <c r="H435" s="4">
        <v>35397</v>
      </c>
      <c r="I435" s="6" t="s">
        <v>2206</v>
      </c>
      <c r="J435" s="6" t="s">
        <v>1673</v>
      </c>
      <c r="K435" s="6" t="s">
        <v>2981</v>
      </c>
      <c r="L435" s="6" t="s">
        <v>3171</v>
      </c>
      <c r="M435" s="9" t="s">
        <v>3706</v>
      </c>
      <c r="N435" s="5" t="str">
        <f t="shared" ref="N435" si="423">TEXT(H435,"DD-MMM-YYY")</f>
        <v>28-Nov-1996</v>
      </c>
      <c r="O435" s="6" t="s">
        <v>3884</v>
      </c>
    </row>
    <row r="436" spans="1:15" x14ac:dyDescent="0.35">
      <c r="A436" s="3" t="s">
        <v>239</v>
      </c>
      <c r="B436" s="3" t="s">
        <v>240</v>
      </c>
      <c r="C436" s="3" t="s">
        <v>19</v>
      </c>
      <c r="D436" s="3" t="s">
        <v>145</v>
      </c>
      <c r="E436" s="3" t="s">
        <v>146</v>
      </c>
      <c r="F436" s="3" t="s">
        <v>1065</v>
      </c>
      <c r="G436" s="3" t="s">
        <v>1066</v>
      </c>
      <c r="H436" s="4">
        <v>35435</v>
      </c>
      <c r="I436" s="6" t="s">
        <v>2207</v>
      </c>
      <c r="J436" s="6" t="s">
        <v>2398</v>
      </c>
      <c r="K436" s="6" t="s">
        <v>2982</v>
      </c>
      <c r="L436" s="6" t="s">
        <v>3172</v>
      </c>
      <c r="M436" s="9" t="s">
        <v>3707</v>
      </c>
      <c r="N436" s="5" t="str">
        <f t="shared" ref="N436" si="424">TEXT(H436, "DD-MMM-YYY")</f>
        <v>05-Jan-1997</v>
      </c>
      <c r="O436" s="6" t="s">
        <v>30</v>
      </c>
    </row>
    <row r="437" spans="1:15" x14ac:dyDescent="0.35">
      <c r="A437" s="3" t="s">
        <v>243</v>
      </c>
      <c r="B437" s="3" t="s">
        <v>244</v>
      </c>
      <c r="C437" s="3" t="s">
        <v>33</v>
      </c>
      <c r="D437" s="3" t="s">
        <v>152</v>
      </c>
      <c r="E437" s="3" t="s">
        <v>153</v>
      </c>
      <c r="F437" s="3" t="s">
        <v>1067</v>
      </c>
      <c r="G437" s="3" t="s">
        <v>1068</v>
      </c>
      <c r="H437" s="4">
        <v>35864</v>
      </c>
      <c r="I437" s="6" t="s">
        <v>2208</v>
      </c>
      <c r="J437" s="6" t="s">
        <v>2399</v>
      </c>
      <c r="K437" s="6" t="s">
        <v>2983</v>
      </c>
      <c r="L437" s="6" t="s">
        <v>3173</v>
      </c>
      <c r="M437" s="9" t="s">
        <v>3708</v>
      </c>
      <c r="N437" s="5" t="str">
        <f t="shared" ref="N437" si="425">TEXT(H437,"DD-MMM-YYY")</f>
        <v>10-Mar-1998</v>
      </c>
      <c r="O437" s="6" t="s">
        <v>44</v>
      </c>
    </row>
    <row r="438" spans="1:15" x14ac:dyDescent="0.35">
      <c r="A438" s="3" t="s">
        <v>247</v>
      </c>
      <c r="B438" s="3" t="s">
        <v>248</v>
      </c>
      <c r="C438" s="3" t="s">
        <v>47</v>
      </c>
      <c r="D438" s="3" t="s">
        <v>159</v>
      </c>
      <c r="E438" s="3" t="s">
        <v>77</v>
      </c>
      <c r="F438" s="3" t="s">
        <v>1069</v>
      </c>
      <c r="G438" s="3" t="s">
        <v>1070</v>
      </c>
      <c r="H438" s="4">
        <v>36295</v>
      </c>
      <c r="I438" s="6" t="s">
        <v>2209</v>
      </c>
      <c r="J438" s="6" t="s">
        <v>2400</v>
      </c>
      <c r="K438" s="6" t="s">
        <v>2984</v>
      </c>
      <c r="L438" s="6" t="s">
        <v>3174</v>
      </c>
      <c r="M438" s="9" t="s">
        <v>3709</v>
      </c>
      <c r="N438" s="5" t="str">
        <f t="shared" ref="N438" si="426">TEXT(H438, "DD-MMM-YYY")</f>
        <v>15-May-1999</v>
      </c>
      <c r="O438" s="6" t="s">
        <v>58</v>
      </c>
    </row>
    <row r="439" spans="1:15" x14ac:dyDescent="0.35">
      <c r="A439" s="3" t="s">
        <v>251</v>
      </c>
      <c r="B439" s="3" t="s">
        <v>252</v>
      </c>
      <c r="C439" s="3" t="s">
        <v>61</v>
      </c>
      <c r="D439" s="3" t="s">
        <v>165</v>
      </c>
      <c r="E439" s="3" t="s">
        <v>166</v>
      </c>
      <c r="F439" s="3" t="s">
        <v>1071</v>
      </c>
      <c r="G439" s="3" t="s">
        <v>1072</v>
      </c>
      <c r="H439" s="4">
        <v>31248</v>
      </c>
      <c r="I439" s="6" t="s">
        <v>2210</v>
      </c>
      <c r="J439" s="6" t="s">
        <v>2401</v>
      </c>
      <c r="K439" s="6" t="s">
        <v>2985</v>
      </c>
      <c r="L439" s="6" t="s">
        <v>3175</v>
      </c>
      <c r="M439" s="9" t="s">
        <v>3710</v>
      </c>
      <c r="N439" s="5" t="str">
        <f t="shared" ref="N439" si="427">TEXT(H439,"DD-MMM-YYY")</f>
        <v>20-Jul-1985</v>
      </c>
      <c r="O439" s="6" t="s">
        <v>72</v>
      </c>
    </row>
    <row r="440" spans="1:15" x14ac:dyDescent="0.35">
      <c r="A440" s="3" t="s">
        <v>255</v>
      </c>
      <c r="B440" s="3" t="s">
        <v>256</v>
      </c>
      <c r="C440" s="3" t="s">
        <v>75</v>
      </c>
      <c r="D440" s="3" t="s">
        <v>171</v>
      </c>
      <c r="E440" s="3" t="s">
        <v>172</v>
      </c>
      <c r="F440" s="3" t="s">
        <v>1073</v>
      </c>
      <c r="G440" s="3" t="s">
        <v>1074</v>
      </c>
      <c r="H440" s="4">
        <v>31680</v>
      </c>
      <c r="I440" s="6" t="s">
        <v>2211</v>
      </c>
      <c r="J440" s="6" t="s">
        <v>2402</v>
      </c>
      <c r="K440" s="6" t="s">
        <v>2986</v>
      </c>
      <c r="L440" s="6" t="s">
        <v>3176</v>
      </c>
      <c r="M440" s="9" t="s">
        <v>3711</v>
      </c>
      <c r="N440" s="5" t="str">
        <f t="shared" ref="N440" si="428">TEXT(H440, "DD-MMM-YYY")</f>
        <v>25-Sept-1986</v>
      </c>
      <c r="O440" s="6" t="s">
        <v>86</v>
      </c>
    </row>
    <row r="441" spans="1:15" x14ac:dyDescent="0.35">
      <c r="A441" s="3" t="s">
        <v>259</v>
      </c>
      <c r="B441" s="3" t="s">
        <v>260</v>
      </c>
      <c r="C441" s="3" t="s">
        <v>89</v>
      </c>
      <c r="D441" s="3" t="s">
        <v>162</v>
      </c>
      <c r="E441" s="3" t="s">
        <v>63</v>
      </c>
      <c r="F441" s="3" t="s">
        <v>1075</v>
      </c>
      <c r="G441" s="3" t="s">
        <v>1076</v>
      </c>
      <c r="H441" s="4">
        <v>32083</v>
      </c>
      <c r="I441" s="6" t="s">
        <v>2212</v>
      </c>
      <c r="J441" s="6" t="s">
        <v>2403</v>
      </c>
      <c r="K441" s="6" t="s">
        <v>2987</v>
      </c>
      <c r="L441" s="6" t="s">
        <v>3177</v>
      </c>
      <c r="M441" s="9" t="s">
        <v>3712</v>
      </c>
      <c r="N441" s="5" t="str">
        <f t="shared" ref="N441" si="429">TEXT(H441,"DD-MMM-YYY")</f>
        <v>02-Nov-1987</v>
      </c>
      <c r="O441" s="6" t="s">
        <v>100</v>
      </c>
    </row>
    <row r="442" spans="1:15" x14ac:dyDescent="0.35">
      <c r="A442" s="3" t="s">
        <v>263</v>
      </c>
      <c r="B442" s="3" t="s">
        <v>264</v>
      </c>
      <c r="C442" s="3" t="s">
        <v>103</v>
      </c>
      <c r="D442" s="3" t="s">
        <v>181</v>
      </c>
      <c r="E442" s="3" t="s">
        <v>182</v>
      </c>
      <c r="F442" s="3" t="s">
        <v>1077</v>
      </c>
      <c r="G442" s="3" t="s">
        <v>1078</v>
      </c>
      <c r="H442" s="4">
        <v>32149</v>
      </c>
      <c r="I442" s="6" t="s">
        <v>2213</v>
      </c>
      <c r="J442" s="6" t="s">
        <v>2404</v>
      </c>
      <c r="K442" s="6" t="s">
        <v>2988</v>
      </c>
      <c r="L442" s="6" t="s">
        <v>3178</v>
      </c>
      <c r="M442" s="9" t="s">
        <v>3713</v>
      </c>
      <c r="N442" s="5" t="str">
        <f t="shared" ref="N442" si="430">TEXT(H442, "DD-MMM-YYY")</f>
        <v>07-Jan-1988</v>
      </c>
      <c r="O442" s="6" t="s">
        <v>3875</v>
      </c>
    </row>
    <row r="443" spans="1:15" x14ac:dyDescent="0.35">
      <c r="A443" s="3" t="s">
        <v>267</v>
      </c>
      <c r="B443" s="3" t="s">
        <v>268</v>
      </c>
      <c r="C443" s="3" t="s">
        <v>110</v>
      </c>
      <c r="D443" s="3" t="s">
        <v>187</v>
      </c>
      <c r="E443" s="3" t="s">
        <v>188</v>
      </c>
      <c r="F443" s="3" t="s">
        <v>1079</v>
      </c>
      <c r="G443" s="3" t="s">
        <v>1080</v>
      </c>
      <c r="H443" s="4">
        <v>32579</v>
      </c>
      <c r="I443" s="6" t="s">
        <v>2214</v>
      </c>
      <c r="J443" s="6" t="s">
        <v>2405</v>
      </c>
      <c r="K443" s="6" t="s">
        <v>2989</v>
      </c>
      <c r="L443" s="6" t="s">
        <v>3179</v>
      </c>
      <c r="M443" s="9" t="s">
        <v>3714</v>
      </c>
      <c r="N443" s="5" t="str">
        <f t="shared" ref="N443" si="431">TEXT(H443,"DD-MMM-YYY")</f>
        <v>12-Mar-1989</v>
      </c>
      <c r="O443" s="6" t="s">
        <v>3876</v>
      </c>
    </row>
    <row r="444" spans="1:15" x14ac:dyDescent="0.35">
      <c r="A444" s="3" t="s">
        <v>271</v>
      </c>
      <c r="B444" s="3" t="s">
        <v>18</v>
      </c>
      <c r="C444" s="3" t="s">
        <v>117</v>
      </c>
      <c r="D444" s="3" t="s">
        <v>20</v>
      </c>
      <c r="E444" s="3" t="s">
        <v>21</v>
      </c>
      <c r="F444" s="3" t="s">
        <v>1081</v>
      </c>
      <c r="G444" s="3" t="s">
        <v>1082</v>
      </c>
      <c r="H444" s="4">
        <v>33010</v>
      </c>
      <c r="I444" s="6" t="s">
        <v>2215</v>
      </c>
      <c r="J444" s="6" t="s">
        <v>2406</v>
      </c>
      <c r="K444" s="6" t="s">
        <v>2990</v>
      </c>
      <c r="L444" s="6" t="s">
        <v>3180</v>
      </c>
      <c r="M444" s="9" t="s">
        <v>3715</v>
      </c>
      <c r="N444" s="5" t="str">
        <f t="shared" ref="N444" si="432">TEXT(H444, "DD-MMM-YYY")</f>
        <v>17-May-1990</v>
      </c>
      <c r="O444" s="6" t="s">
        <v>3877</v>
      </c>
    </row>
    <row r="445" spans="1:15" x14ac:dyDescent="0.35">
      <c r="A445" s="3" t="s">
        <v>274</v>
      </c>
      <c r="B445" s="3" t="s">
        <v>32</v>
      </c>
      <c r="C445" s="3" t="s">
        <v>124</v>
      </c>
      <c r="D445" s="3" t="s">
        <v>34</v>
      </c>
      <c r="E445" s="3" t="s">
        <v>35</v>
      </c>
      <c r="F445" s="3" t="s">
        <v>1083</v>
      </c>
      <c r="G445" s="3" t="s">
        <v>1084</v>
      </c>
      <c r="H445" s="4">
        <v>33441</v>
      </c>
      <c r="I445" s="6" t="s">
        <v>2216</v>
      </c>
      <c r="J445" s="6" t="s">
        <v>1603</v>
      </c>
      <c r="K445" s="6" t="s">
        <v>2991</v>
      </c>
      <c r="L445" s="6" t="s">
        <v>3181</v>
      </c>
      <c r="M445" s="9" t="s">
        <v>3716</v>
      </c>
      <c r="N445" s="5" t="str">
        <f t="shared" ref="N445" si="433">TEXT(H445,"DD-MMM-YYY")</f>
        <v>22-Jul-1991</v>
      </c>
      <c r="O445" s="6" t="s">
        <v>3878</v>
      </c>
    </row>
    <row r="446" spans="1:15" x14ac:dyDescent="0.35">
      <c r="A446" s="3" t="s">
        <v>277</v>
      </c>
      <c r="B446" s="3" t="s">
        <v>46</v>
      </c>
      <c r="C446" s="3" t="s">
        <v>131</v>
      </c>
      <c r="D446" s="3" t="s">
        <v>48</v>
      </c>
      <c r="E446" s="3" t="s">
        <v>49</v>
      </c>
      <c r="F446" s="3" t="s">
        <v>1085</v>
      </c>
      <c r="G446" s="3" t="s">
        <v>1086</v>
      </c>
      <c r="H446" s="4">
        <v>33874</v>
      </c>
      <c r="I446" s="6" t="s">
        <v>2217</v>
      </c>
      <c r="J446" s="6" t="s">
        <v>2407</v>
      </c>
      <c r="K446" s="6" t="s">
        <v>2992</v>
      </c>
      <c r="L446" s="6" t="s">
        <v>3182</v>
      </c>
      <c r="M446" s="9" t="s">
        <v>3717</v>
      </c>
      <c r="N446" s="5" t="str">
        <f t="shared" ref="N446" si="434">TEXT(H446, "DD-MMM-YYY")</f>
        <v>27-Sept-1992</v>
      </c>
      <c r="O446" s="6" t="s">
        <v>3879</v>
      </c>
    </row>
    <row r="447" spans="1:15" x14ac:dyDescent="0.35">
      <c r="A447" s="3" t="s">
        <v>280</v>
      </c>
      <c r="B447" s="3" t="s">
        <v>60</v>
      </c>
      <c r="C447" s="3" t="s">
        <v>137</v>
      </c>
      <c r="D447" s="3" t="s">
        <v>62</v>
      </c>
      <c r="E447" s="3" t="s">
        <v>63</v>
      </c>
      <c r="F447" s="3" t="s">
        <v>1087</v>
      </c>
      <c r="G447" s="3" t="s">
        <v>1088</v>
      </c>
      <c r="H447" s="4">
        <v>34277</v>
      </c>
      <c r="I447" s="6" t="s">
        <v>2218</v>
      </c>
      <c r="J447" s="6" t="s">
        <v>2408</v>
      </c>
      <c r="K447" s="6" t="s">
        <v>2993</v>
      </c>
      <c r="L447" s="6" t="s">
        <v>3183</v>
      </c>
      <c r="M447" s="9" t="s">
        <v>3718</v>
      </c>
      <c r="N447" s="5" t="str">
        <f t="shared" ref="N447" si="435">TEXT(H447,"DD-MMM-YYY")</f>
        <v>04-Nov-1993</v>
      </c>
      <c r="O447" s="6" t="s">
        <v>3880</v>
      </c>
    </row>
    <row r="448" spans="1:15" x14ac:dyDescent="0.35">
      <c r="A448" s="3" t="s">
        <v>283</v>
      </c>
      <c r="B448" s="3" t="s">
        <v>74</v>
      </c>
      <c r="C448" s="3" t="s">
        <v>144</v>
      </c>
      <c r="D448" s="3" t="s">
        <v>76</v>
      </c>
      <c r="E448" s="3" t="s">
        <v>77</v>
      </c>
      <c r="F448" s="3" t="s">
        <v>1089</v>
      </c>
      <c r="G448" s="3" t="s">
        <v>1090</v>
      </c>
      <c r="H448" s="4">
        <v>34343</v>
      </c>
      <c r="I448" s="6" t="s">
        <v>2219</v>
      </c>
      <c r="J448" s="6" t="s">
        <v>2409</v>
      </c>
      <c r="K448" s="6" t="s">
        <v>2994</v>
      </c>
      <c r="L448" s="6" t="s">
        <v>3184</v>
      </c>
      <c r="M448" s="9" t="s">
        <v>3719</v>
      </c>
      <c r="N448" s="5" t="str">
        <f t="shared" ref="N448" si="436">TEXT(H448, "DD-MMM-YYY")</f>
        <v>09-Jan-1994</v>
      </c>
      <c r="O448" s="6" t="s">
        <v>3881</v>
      </c>
    </row>
    <row r="449" spans="1:15" x14ac:dyDescent="0.35">
      <c r="A449" s="3" t="s">
        <v>286</v>
      </c>
      <c r="B449" s="3" t="s">
        <v>88</v>
      </c>
      <c r="C449" s="3" t="s">
        <v>151</v>
      </c>
      <c r="D449" s="3" t="s">
        <v>90</v>
      </c>
      <c r="E449" s="3" t="s">
        <v>91</v>
      </c>
      <c r="F449" s="3" t="s">
        <v>1091</v>
      </c>
      <c r="G449" s="3" t="s">
        <v>1092</v>
      </c>
      <c r="H449" s="4">
        <v>34772</v>
      </c>
      <c r="I449" s="6" t="s">
        <v>2220</v>
      </c>
      <c r="J449" s="6" t="s">
        <v>2410</v>
      </c>
      <c r="K449" s="6" t="s">
        <v>2995</v>
      </c>
      <c r="L449" s="6" t="s">
        <v>3185</v>
      </c>
      <c r="M449" s="9" t="s">
        <v>3720</v>
      </c>
      <c r="N449" s="5" t="str">
        <f t="shared" ref="N449" si="437">TEXT(H449,"DD-MMM-YYY")</f>
        <v>14-Mar-1995</v>
      </c>
      <c r="O449" s="6" t="s">
        <v>3882</v>
      </c>
    </row>
    <row r="450" spans="1:15" x14ac:dyDescent="0.35">
      <c r="A450" s="3" t="s">
        <v>289</v>
      </c>
      <c r="B450" s="3" t="s">
        <v>102</v>
      </c>
      <c r="C450" s="3" t="s">
        <v>158</v>
      </c>
      <c r="D450" s="3" t="s">
        <v>104</v>
      </c>
      <c r="E450" s="3" t="s">
        <v>105</v>
      </c>
      <c r="F450" s="3" t="s">
        <v>1093</v>
      </c>
      <c r="G450" s="3" t="s">
        <v>1094</v>
      </c>
      <c r="H450" s="4">
        <v>35204</v>
      </c>
      <c r="I450" s="6" t="s">
        <v>2221</v>
      </c>
      <c r="J450" s="6" t="s">
        <v>2411</v>
      </c>
      <c r="K450" s="6" t="s">
        <v>2996</v>
      </c>
      <c r="L450" s="6" t="s">
        <v>3186</v>
      </c>
      <c r="M450" s="9" t="s">
        <v>3721</v>
      </c>
      <c r="N450" s="5" t="str">
        <f t="shared" ref="N450" si="438">TEXT(H450, "DD-MMM-YYY")</f>
        <v>19-May-1996</v>
      </c>
      <c r="O450" s="6" t="s">
        <v>3883</v>
      </c>
    </row>
    <row r="451" spans="1:15" x14ac:dyDescent="0.35">
      <c r="A451" s="3" t="s">
        <v>292</v>
      </c>
      <c r="B451" s="3" t="s">
        <v>109</v>
      </c>
      <c r="C451" s="3" t="s">
        <v>164</v>
      </c>
      <c r="D451" s="3" t="s">
        <v>111</v>
      </c>
      <c r="E451" s="3" t="s">
        <v>112</v>
      </c>
      <c r="F451" s="3" t="s">
        <v>1095</v>
      </c>
      <c r="G451" s="3" t="s">
        <v>1096</v>
      </c>
      <c r="H451" s="4">
        <v>35635</v>
      </c>
      <c r="I451" s="6" t="s">
        <v>2222</v>
      </c>
      <c r="J451" s="6" t="s">
        <v>2412</v>
      </c>
      <c r="K451" s="6" t="s">
        <v>2997</v>
      </c>
      <c r="L451" s="6" t="s">
        <v>3187</v>
      </c>
      <c r="M451" s="9" t="s">
        <v>3722</v>
      </c>
      <c r="N451" s="5" t="str">
        <f t="shared" ref="N451" si="439">TEXT(H451,"DD-MMM-YYY")</f>
        <v>24-Jul-1997</v>
      </c>
      <c r="O451" s="6" t="s">
        <v>3884</v>
      </c>
    </row>
    <row r="452" spans="1:15" x14ac:dyDescent="0.35">
      <c r="A452" s="3" t="s">
        <v>295</v>
      </c>
      <c r="B452" s="3" t="s">
        <v>116</v>
      </c>
      <c r="C452" s="3" t="s">
        <v>19</v>
      </c>
      <c r="D452" s="3" t="s">
        <v>118</v>
      </c>
      <c r="E452" s="3" t="s">
        <v>119</v>
      </c>
      <c r="F452" s="3" t="s">
        <v>1097</v>
      </c>
      <c r="G452" s="3" t="s">
        <v>1098</v>
      </c>
      <c r="H452" s="4">
        <v>36039</v>
      </c>
      <c r="I452" s="6" t="s">
        <v>2223</v>
      </c>
      <c r="J452" s="6" t="s">
        <v>2413</v>
      </c>
      <c r="K452" s="6" t="s">
        <v>2998</v>
      </c>
      <c r="L452" s="6" t="s">
        <v>3188</v>
      </c>
      <c r="M452" s="9" t="s">
        <v>3723</v>
      </c>
      <c r="N452" s="5" t="str">
        <f t="shared" ref="N452" si="440">TEXT(H452, "DD-MMM-YYY")</f>
        <v>01-Sept-1998</v>
      </c>
      <c r="O452" s="6" t="s">
        <v>30</v>
      </c>
    </row>
    <row r="453" spans="1:15" x14ac:dyDescent="0.35">
      <c r="A453" s="3" t="s">
        <v>298</v>
      </c>
      <c r="B453" s="3" t="s">
        <v>123</v>
      </c>
      <c r="C453" s="3" t="s">
        <v>33</v>
      </c>
      <c r="D453" s="3" t="s">
        <v>125</v>
      </c>
      <c r="E453" s="3" t="s">
        <v>126</v>
      </c>
      <c r="F453" s="3" t="s">
        <v>1099</v>
      </c>
      <c r="G453" s="3" t="s">
        <v>1100</v>
      </c>
      <c r="H453" s="4">
        <v>36470</v>
      </c>
      <c r="I453" s="6" t="s">
        <v>2224</v>
      </c>
      <c r="J453" s="6" t="s">
        <v>2414</v>
      </c>
      <c r="K453" s="6" t="s">
        <v>2999</v>
      </c>
      <c r="L453" s="6" t="s">
        <v>3189</v>
      </c>
      <c r="M453" s="9" t="s">
        <v>3724</v>
      </c>
      <c r="N453" s="5" t="str">
        <f t="shared" ref="N453" si="441">TEXT(H453,"DD-MMM-YYY")</f>
        <v>06-Nov-1999</v>
      </c>
      <c r="O453" s="6" t="s">
        <v>44</v>
      </c>
    </row>
    <row r="454" spans="1:15" x14ac:dyDescent="0.35">
      <c r="A454" s="3" t="s">
        <v>17</v>
      </c>
      <c r="B454" s="3" t="s">
        <v>130</v>
      </c>
      <c r="C454" s="3" t="s">
        <v>47</v>
      </c>
      <c r="D454" s="3" t="s">
        <v>132</v>
      </c>
      <c r="E454" s="3" t="s">
        <v>126</v>
      </c>
      <c r="F454" s="3" t="s">
        <v>1101</v>
      </c>
      <c r="G454" s="3" t="s">
        <v>1102</v>
      </c>
      <c r="H454" s="4">
        <v>31058</v>
      </c>
      <c r="I454" s="6" t="s">
        <v>2225</v>
      </c>
      <c r="J454" s="6" t="s">
        <v>2415</v>
      </c>
      <c r="K454" s="6" t="s">
        <v>3000</v>
      </c>
      <c r="L454" s="6" t="s">
        <v>3190</v>
      </c>
      <c r="M454" s="9" t="s">
        <v>3725</v>
      </c>
      <c r="N454" s="5" t="str">
        <f t="shared" ref="N454" si="442">TEXT(H454, "DD-MMM-YYY")</f>
        <v>11-Jan-1985</v>
      </c>
      <c r="O454" s="6" t="s">
        <v>58</v>
      </c>
    </row>
    <row r="455" spans="1:15" x14ac:dyDescent="0.35">
      <c r="A455" s="3" t="s">
        <v>31</v>
      </c>
      <c r="B455" s="3" t="s">
        <v>136</v>
      </c>
      <c r="C455" s="3" t="s">
        <v>61</v>
      </c>
      <c r="D455" s="3" t="s">
        <v>138</v>
      </c>
      <c r="E455" s="3" t="s">
        <v>139</v>
      </c>
      <c r="F455" s="3" t="s">
        <v>1103</v>
      </c>
      <c r="G455" s="3" t="s">
        <v>1104</v>
      </c>
      <c r="H455" s="4">
        <v>31487</v>
      </c>
      <c r="I455" s="6" t="s">
        <v>2226</v>
      </c>
      <c r="J455" s="6" t="s">
        <v>1508</v>
      </c>
      <c r="K455" s="6" t="s">
        <v>3001</v>
      </c>
      <c r="L455" s="6" t="s">
        <v>3191</v>
      </c>
      <c r="M455" s="9" t="s">
        <v>3726</v>
      </c>
      <c r="N455" s="5" t="str">
        <f t="shared" ref="N455" si="443">TEXT(H455,"DD-MMM-YYY")</f>
        <v>16-Mar-1986</v>
      </c>
      <c r="O455" s="6" t="s">
        <v>72</v>
      </c>
    </row>
    <row r="456" spans="1:15" x14ac:dyDescent="0.35">
      <c r="A456" s="3" t="s">
        <v>45</v>
      </c>
      <c r="B456" s="3" t="s">
        <v>143</v>
      </c>
      <c r="C456" s="3" t="s">
        <v>75</v>
      </c>
      <c r="D456" s="3" t="s">
        <v>145</v>
      </c>
      <c r="E456" s="3" t="s">
        <v>146</v>
      </c>
      <c r="F456" s="3" t="s">
        <v>1105</v>
      </c>
      <c r="G456" s="3" t="s">
        <v>1106</v>
      </c>
      <c r="H456" s="4">
        <v>31918</v>
      </c>
      <c r="I456" s="6" t="s">
        <v>2227</v>
      </c>
      <c r="J456" s="6" t="s">
        <v>2416</v>
      </c>
      <c r="K456" s="6" t="s">
        <v>3002</v>
      </c>
      <c r="L456" s="6" t="s">
        <v>3192</v>
      </c>
      <c r="M456" s="9" t="s">
        <v>3727</v>
      </c>
      <c r="N456" s="5" t="str">
        <f t="shared" ref="N456" si="444">TEXT(H456, "DD-MMM-YYY")</f>
        <v>21-May-1987</v>
      </c>
      <c r="O456" s="6" t="s">
        <v>86</v>
      </c>
    </row>
    <row r="457" spans="1:15" x14ac:dyDescent="0.35">
      <c r="A457" s="3" t="s">
        <v>59</v>
      </c>
      <c r="B457" s="3" t="s">
        <v>150</v>
      </c>
      <c r="C457" s="3" t="s">
        <v>89</v>
      </c>
      <c r="D457" s="3" t="s">
        <v>152</v>
      </c>
      <c r="E457" s="3" t="s">
        <v>153</v>
      </c>
      <c r="F457" s="3" t="s">
        <v>1107</v>
      </c>
      <c r="G457" s="3" t="s">
        <v>1108</v>
      </c>
      <c r="H457" s="4">
        <v>32350</v>
      </c>
      <c r="I457" s="6" t="s">
        <v>2228</v>
      </c>
      <c r="J457" s="6" t="s">
        <v>2417</v>
      </c>
      <c r="K457" s="6" t="s">
        <v>3003</v>
      </c>
      <c r="L457" s="6" t="s">
        <v>3156</v>
      </c>
      <c r="M457" s="9" t="s">
        <v>3728</v>
      </c>
      <c r="N457" s="5" t="str">
        <f t="shared" ref="N457" si="445">TEXT(H457,"DD-MMM-YYY")</f>
        <v>26-Jul-1988</v>
      </c>
      <c r="O457" s="6" t="s">
        <v>100</v>
      </c>
    </row>
    <row r="458" spans="1:15" x14ac:dyDescent="0.35">
      <c r="A458" s="3" t="s">
        <v>73</v>
      </c>
      <c r="B458" s="3" t="s">
        <v>157</v>
      </c>
      <c r="C458" s="3" t="s">
        <v>103</v>
      </c>
      <c r="D458" s="3" t="s">
        <v>159</v>
      </c>
      <c r="E458" s="3" t="s">
        <v>77</v>
      </c>
      <c r="F458" s="3" t="s">
        <v>1109</v>
      </c>
      <c r="G458" s="3" t="s">
        <v>1110</v>
      </c>
      <c r="H458" s="4">
        <v>32754</v>
      </c>
      <c r="I458" s="6" t="s">
        <v>2229</v>
      </c>
      <c r="J458" s="6" t="s">
        <v>2418</v>
      </c>
      <c r="K458" s="6" t="s">
        <v>3004</v>
      </c>
      <c r="L458" s="6" t="s">
        <v>3193</v>
      </c>
      <c r="M458" s="9" t="s">
        <v>3729</v>
      </c>
      <c r="N458" s="5" t="str">
        <f t="shared" ref="N458" si="446">TEXT(H458, "DD-MMM-YYY")</f>
        <v>03-Sept-1989</v>
      </c>
      <c r="O458" s="6" t="s">
        <v>3875</v>
      </c>
    </row>
    <row r="459" spans="1:15" x14ac:dyDescent="0.35">
      <c r="A459" s="3" t="s">
        <v>87</v>
      </c>
      <c r="B459" s="3" t="s">
        <v>163</v>
      </c>
      <c r="C459" s="3" t="s">
        <v>110</v>
      </c>
      <c r="D459" s="3" t="s">
        <v>165</v>
      </c>
      <c r="E459" s="3" t="s">
        <v>166</v>
      </c>
      <c r="F459" s="3" t="s">
        <v>1111</v>
      </c>
      <c r="G459" s="3" t="s">
        <v>1112</v>
      </c>
      <c r="H459" s="4">
        <v>33185</v>
      </c>
      <c r="I459" s="6" t="s">
        <v>2230</v>
      </c>
      <c r="J459" s="6" t="s">
        <v>2419</v>
      </c>
      <c r="K459" s="6" t="s">
        <v>3005</v>
      </c>
      <c r="L459" s="6" t="s">
        <v>3194</v>
      </c>
      <c r="M459" s="9" t="s">
        <v>3730</v>
      </c>
      <c r="N459" s="5" t="str">
        <f t="shared" ref="N459" si="447">TEXT(H459,"DD-MMM-YYY")</f>
        <v>08-Nov-1990</v>
      </c>
      <c r="O459" s="6" t="s">
        <v>3876</v>
      </c>
    </row>
    <row r="460" spans="1:15" x14ac:dyDescent="0.35">
      <c r="A460" s="3" t="s">
        <v>101</v>
      </c>
      <c r="B460" s="3" t="s">
        <v>170</v>
      </c>
      <c r="C460" s="3" t="s">
        <v>117</v>
      </c>
      <c r="D460" s="3" t="s">
        <v>171</v>
      </c>
      <c r="E460" s="3" t="s">
        <v>172</v>
      </c>
      <c r="F460" s="3" t="s">
        <v>1113</v>
      </c>
      <c r="G460" s="3" t="s">
        <v>1114</v>
      </c>
      <c r="H460" s="4">
        <v>33251</v>
      </c>
      <c r="I460" s="6" t="s">
        <v>2231</v>
      </c>
      <c r="J460" s="6" t="s">
        <v>2420</v>
      </c>
      <c r="K460" s="6" t="s">
        <v>3006</v>
      </c>
      <c r="L460" s="6" t="s">
        <v>3195</v>
      </c>
      <c r="M460" s="9" t="s">
        <v>3731</v>
      </c>
      <c r="N460" s="5" t="str">
        <f t="shared" ref="N460" si="448">TEXT(H460, "DD-MMM-YYY")</f>
        <v>13-Jan-1991</v>
      </c>
      <c r="O460" s="6" t="s">
        <v>3877</v>
      </c>
    </row>
    <row r="461" spans="1:15" x14ac:dyDescent="0.35">
      <c r="A461" s="3" t="s">
        <v>108</v>
      </c>
      <c r="B461" s="3" t="s">
        <v>176</v>
      </c>
      <c r="C461" s="3" t="s">
        <v>124</v>
      </c>
      <c r="D461" s="3" t="s">
        <v>162</v>
      </c>
      <c r="E461" s="3" t="s">
        <v>63</v>
      </c>
      <c r="F461" s="3" t="s">
        <v>1115</v>
      </c>
      <c r="G461" s="3" t="s">
        <v>1116</v>
      </c>
      <c r="H461" s="4">
        <v>33681</v>
      </c>
      <c r="I461" s="6" t="s">
        <v>2232</v>
      </c>
      <c r="J461" s="6" t="s">
        <v>2421</v>
      </c>
      <c r="K461" s="6" t="s">
        <v>3007</v>
      </c>
      <c r="L461" s="6" t="s">
        <v>153</v>
      </c>
      <c r="M461" s="9" t="s">
        <v>3732</v>
      </c>
      <c r="N461" s="5" t="str">
        <f t="shared" ref="N461" si="449">TEXT(H461,"DD-MMM-YYY")</f>
        <v>18-Mar-1992</v>
      </c>
      <c r="O461" s="6" t="s">
        <v>3878</v>
      </c>
    </row>
    <row r="462" spans="1:15" x14ac:dyDescent="0.35">
      <c r="A462" s="3" t="s">
        <v>115</v>
      </c>
      <c r="B462" s="3" t="s">
        <v>180</v>
      </c>
      <c r="C462" s="3" t="s">
        <v>131</v>
      </c>
      <c r="D462" s="3" t="s">
        <v>181</v>
      </c>
      <c r="E462" s="3" t="s">
        <v>182</v>
      </c>
      <c r="F462" s="3" t="s">
        <v>1117</v>
      </c>
      <c r="G462" s="3" t="s">
        <v>1118</v>
      </c>
      <c r="H462" s="4">
        <v>34112</v>
      </c>
      <c r="I462" s="6" t="s">
        <v>2233</v>
      </c>
      <c r="J462" s="6" t="s">
        <v>2422</v>
      </c>
      <c r="K462" s="6" t="s">
        <v>3008</v>
      </c>
      <c r="L462" s="6" t="s">
        <v>3196</v>
      </c>
      <c r="M462" s="9" t="s">
        <v>3733</v>
      </c>
      <c r="N462" s="5" t="str">
        <f t="shared" ref="N462" si="450">TEXT(H462, "DD-MMM-YYY")</f>
        <v>23-May-1993</v>
      </c>
      <c r="O462" s="6" t="s">
        <v>3879</v>
      </c>
    </row>
    <row r="463" spans="1:15" x14ac:dyDescent="0.35">
      <c r="A463" s="3" t="s">
        <v>122</v>
      </c>
      <c r="B463" s="3" t="s">
        <v>186</v>
      </c>
      <c r="C463" s="3" t="s">
        <v>137</v>
      </c>
      <c r="D463" s="3" t="s">
        <v>187</v>
      </c>
      <c r="E463" s="3" t="s">
        <v>188</v>
      </c>
      <c r="F463" s="3" t="s">
        <v>1119</v>
      </c>
      <c r="G463" s="3" t="s">
        <v>1120</v>
      </c>
      <c r="H463" s="4">
        <v>34543</v>
      </c>
      <c r="I463" s="6" t="s">
        <v>2234</v>
      </c>
      <c r="J463" s="6" t="s">
        <v>2423</v>
      </c>
      <c r="K463" s="6" t="s">
        <v>3009</v>
      </c>
      <c r="L463" s="6" t="s">
        <v>3197</v>
      </c>
      <c r="M463" s="9" t="s">
        <v>3734</v>
      </c>
      <c r="N463" s="5" t="str">
        <f t="shared" ref="N463" si="451">TEXT(H463,"DD-MMM-YYY")</f>
        <v>28-Jul-1994</v>
      </c>
      <c r="O463" s="6" t="s">
        <v>3880</v>
      </c>
    </row>
    <row r="464" spans="1:15" x14ac:dyDescent="0.35">
      <c r="A464" s="3" t="s">
        <v>129</v>
      </c>
      <c r="B464" s="3" t="s">
        <v>192</v>
      </c>
      <c r="C464" s="3" t="s">
        <v>144</v>
      </c>
      <c r="D464" s="3" t="s">
        <v>20</v>
      </c>
      <c r="E464" s="3" t="s">
        <v>21</v>
      </c>
      <c r="F464" s="3" t="s">
        <v>1121</v>
      </c>
      <c r="G464" s="3" t="s">
        <v>1122</v>
      </c>
      <c r="H464" s="4">
        <v>34947</v>
      </c>
      <c r="I464" s="6" t="s">
        <v>2235</v>
      </c>
      <c r="J464" s="6" t="s">
        <v>2424</v>
      </c>
      <c r="K464" s="6" t="s">
        <v>3010</v>
      </c>
      <c r="L464" s="6" t="s">
        <v>3164</v>
      </c>
      <c r="M464" s="9" t="s">
        <v>3735</v>
      </c>
      <c r="N464" s="5" t="str">
        <f t="shared" ref="N464" si="452">TEXT(H464, "DD-MMM-YYY")</f>
        <v>05-Sept-1995</v>
      </c>
      <c r="O464" s="6" t="s">
        <v>3881</v>
      </c>
    </row>
    <row r="465" spans="1:15" x14ac:dyDescent="0.35">
      <c r="A465" s="3" t="s">
        <v>135</v>
      </c>
      <c r="B465" s="3" t="s">
        <v>196</v>
      </c>
      <c r="C465" s="3" t="s">
        <v>151</v>
      </c>
      <c r="D465" s="3" t="s">
        <v>34</v>
      </c>
      <c r="E465" s="3" t="s">
        <v>35</v>
      </c>
      <c r="F465" s="3" t="s">
        <v>1123</v>
      </c>
      <c r="G465" s="3" t="s">
        <v>1124</v>
      </c>
      <c r="H465" s="4">
        <v>35379</v>
      </c>
      <c r="I465" s="6" t="s">
        <v>2236</v>
      </c>
      <c r="J465" s="6" t="s">
        <v>1663</v>
      </c>
      <c r="K465" s="6" t="s">
        <v>3011</v>
      </c>
      <c r="L465" s="6" t="s">
        <v>3198</v>
      </c>
      <c r="M465" s="9" t="s">
        <v>3736</v>
      </c>
      <c r="N465" s="5" t="str">
        <f t="shared" ref="N465" si="453">TEXT(H465,"DD-MMM-YYY")</f>
        <v>10-Nov-1996</v>
      </c>
      <c r="O465" s="6" t="s">
        <v>3882</v>
      </c>
    </row>
    <row r="466" spans="1:15" x14ac:dyDescent="0.35">
      <c r="A466" s="3" t="s">
        <v>142</v>
      </c>
      <c r="B466" s="3" t="s">
        <v>200</v>
      </c>
      <c r="C466" s="3" t="s">
        <v>158</v>
      </c>
      <c r="D466" s="3" t="s">
        <v>48</v>
      </c>
      <c r="E466" s="3" t="s">
        <v>49</v>
      </c>
      <c r="F466" s="3" t="s">
        <v>1125</v>
      </c>
      <c r="G466" s="3" t="s">
        <v>1126</v>
      </c>
      <c r="H466" s="4">
        <v>35445</v>
      </c>
      <c r="I466" s="6" t="s">
        <v>2237</v>
      </c>
      <c r="J466" s="6" t="s">
        <v>2425</v>
      </c>
      <c r="K466" s="6" t="s">
        <v>3012</v>
      </c>
      <c r="L466" s="6" t="s">
        <v>3199</v>
      </c>
      <c r="M466" s="9" t="s">
        <v>3737</v>
      </c>
      <c r="N466" s="5" t="str">
        <f t="shared" ref="N466" si="454">TEXT(H466, "DD-MMM-YYY")</f>
        <v>15-Jan-1997</v>
      </c>
      <c r="O466" s="6" t="s">
        <v>3883</v>
      </c>
    </row>
    <row r="467" spans="1:15" x14ac:dyDescent="0.35">
      <c r="A467" s="3" t="s">
        <v>149</v>
      </c>
      <c r="B467" s="3" t="s">
        <v>204</v>
      </c>
      <c r="C467" s="3" t="s">
        <v>164</v>
      </c>
      <c r="D467" s="3" t="s">
        <v>62</v>
      </c>
      <c r="E467" s="3" t="s">
        <v>63</v>
      </c>
      <c r="F467" s="3" t="s">
        <v>1127</v>
      </c>
      <c r="G467" s="3" t="s">
        <v>1128</v>
      </c>
      <c r="H467" s="4">
        <v>35874</v>
      </c>
      <c r="I467" s="6" t="s">
        <v>2238</v>
      </c>
      <c r="J467" s="6" t="s">
        <v>2426</v>
      </c>
      <c r="K467" s="6" t="s">
        <v>3013</v>
      </c>
      <c r="L467" s="6" t="s">
        <v>3200</v>
      </c>
      <c r="M467" s="9" t="s">
        <v>3738</v>
      </c>
      <c r="N467" s="5" t="str">
        <f t="shared" ref="N467" si="455">TEXT(H467,"DD-MMM-YYY")</f>
        <v>20-Mar-1998</v>
      </c>
      <c r="O467" s="6" t="s">
        <v>3884</v>
      </c>
    </row>
    <row r="468" spans="1:15" x14ac:dyDescent="0.35">
      <c r="A468" s="3" t="s">
        <v>156</v>
      </c>
      <c r="B468" s="3" t="s">
        <v>208</v>
      </c>
      <c r="C468" s="3" t="s">
        <v>19</v>
      </c>
      <c r="D468" s="3" t="s">
        <v>76</v>
      </c>
      <c r="E468" s="3" t="s">
        <v>77</v>
      </c>
      <c r="F468" s="3" t="s">
        <v>1129</v>
      </c>
      <c r="G468" s="3" t="s">
        <v>1130</v>
      </c>
      <c r="H468" s="4">
        <v>36305</v>
      </c>
      <c r="I468" s="6" t="s">
        <v>2239</v>
      </c>
      <c r="J468" s="6" t="s">
        <v>2427</v>
      </c>
      <c r="K468" s="6" t="s">
        <v>3014</v>
      </c>
      <c r="L468" s="6" t="s">
        <v>3201</v>
      </c>
      <c r="M468" s="9" t="s">
        <v>3739</v>
      </c>
      <c r="N468" s="5" t="str">
        <f t="shared" ref="N468" si="456">TEXT(H468, "DD-MMM-YYY")</f>
        <v>25-May-1999</v>
      </c>
      <c r="O468" s="6" t="s">
        <v>30</v>
      </c>
    </row>
    <row r="469" spans="1:15" x14ac:dyDescent="0.35">
      <c r="A469" s="3" t="s">
        <v>162</v>
      </c>
      <c r="B469" s="3" t="s">
        <v>212</v>
      </c>
      <c r="C469" s="3" t="s">
        <v>33</v>
      </c>
      <c r="D469" s="3" t="s">
        <v>90</v>
      </c>
      <c r="E469" s="3" t="s">
        <v>91</v>
      </c>
      <c r="F469" s="3" t="s">
        <v>1131</v>
      </c>
      <c r="G469" s="3" t="s">
        <v>1132</v>
      </c>
      <c r="H469" s="4">
        <v>31230</v>
      </c>
      <c r="I469" s="6" t="s">
        <v>2240</v>
      </c>
      <c r="J469" s="6" t="s">
        <v>2428</v>
      </c>
      <c r="K469" s="6" t="s">
        <v>3015</v>
      </c>
      <c r="L469" s="6" t="s">
        <v>3202</v>
      </c>
      <c r="M469" s="9" t="s">
        <v>3740</v>
      </c>
      <c r="N469" s="5" t="str">
        <f t="shared" ref="N469" si="457">TEXT(H469,"DD-MMM-YYY")</f>
        <v>02-Jul-1985</v>
      </c>
      <c r="O469" s="6" t="s">
        <v>44</v>
      </c>
    </row>
    <row r="470" spans="1:15" x14ac:dyDescent="0.35">
      <c r="A470" s="3" t="s">
        <v>169</v>
      </c>
      <c r="B470" s="3" t="s">
        <v>216</v>
      </c>
      <c r="C470" s="3" t="s">
        <v>47</v>
      </c>
      <c r="D470" s="3" t="s">
        <v>104</v>
      </c>
      <c r="E470" s="3" t="s">
        <v>105</v>
      </c>
      <c r="F470" s="3" t="s">
        <v>1133</v>
      </c>
      <c r="G470" s="3" t="s">
        <v>1134</v>
      </c>
      <c r="H470" s="4">
        <v>31662</v>
      </c>
      <c r="I470" s="6" t="s">
        <v>2241</v>
      </c>
      <c r="J470" s="6" t="s">
        <v>2429</v>
      </c>
      <c r="K470" s="6" t="s">
        <v>3016</v>
      </c>
      <c r="L470" s="6" t="s">
        <v>3203</v>
      </c>
      <c r="M470" s="9" t="s">
        <v>3741</v>
      </c>
      <c r="N470" s="5" t="str">
        <f t="shared" ref="N470" si="458">TEXT(H470, "DD-MMM-YYY")</f>
        <v>07-Sept-1986</v>
      </c>
      <c r="O470" s="6" t="s">
        <v>58</v>
      </c>
    </row>
    <row r="471" spans="1:15" x14ac:dyDescent="0.35">
      <c r="A471" s="3" t="s">
        <v>175</v>
      </c>
      <c r="B471" s="3" t="s">
        <v>220</v>
      </c>
      <c r="C471" s="3" t="s">
        <v>61</v>
      </c>
      <c r="D471" s="3" t="s">
        <v>111</v>
      </c>
      <c r="E471" s="3" t="s">
        <v>112</v>
      </c>
      <c r="F471" s="3" t="s">
        <v>1135</v>
      </c>
      <c r="G471" s="3" t="s">
        <v>1136</v>
      </c>
      <c r="H471" s="4">
        <v>32093</v>
      </c>
      <c r="I471" s="6" t="s">
        <v>2242</v>
      </c>
      <c r="J471" s="6" t="s">
        <v>2430</v>
      </c>
      <c r="K471" s="6" t="s">
        <v>3017</v>
      </c>
      <c r="L471" s="6" t="s">
        <v>3204</v>
      </c>
      <c r="M471" s="9" t="s">
        <v>3742</v>
      </c>
      <c r="N471" s="5" t="str">
        <f t="shared" ref="N471" si="459">TEXT(H471,"DD-MMM-YYY")</f>
        <v>12-Nov-1987</v>
      </c>
      <c r="O471" s="6" t="s">
        <v>72</v>
      </c>
    </row>
    <row r="472" spans="1:15" x14ac:dyDescent="0.35">
      <c r="A472" s="3" t="s">
        <v>179</v>
      </c>
      <c r="B472" s="3" t="s">
        <v>224</v>
      </c>
      <c r="C472" s="3" t="s">
        <v>75</v>
      </c>
      <c r="D472" s="3" t="s">
        <v>118</v>
      </c>
      <c r="E472" s="3" t="s">
        <v>119</v>
      </c>
      <c r="F472" s="3" t="s">
        <v>1137</v>
      </c>
      <c r="G472" s="3" t="s">
        <v>1138</v>
      </c>
      <c r="H472" s="4">
        <v>32159</v>
      </c>
      <c r="I472" s="6" t="s">
        <v>2243</v>
      </c>
      <c r="J472" s="6" t="s">
        <v>2431</v>
      </c>
      <c r="K472" s="6" t="s">
        <v>3018</v>
      </c>
      <c r="L472" s="6" t="s">
        <v>3205</v>
      </c>
      <c r="M472" s="9" t="s">
        <v>3743</v>
      </c>
      <c r="N472" s="5" t="str">
        <f t="shared" ref="N472" si="460">TEXT(H472, "DD-MMM-YYY")</f>
        <v>17-Jan-1988</v>
      </c>
      <c r="O472" s="6" t="s">
        <v>86</v>
      </c>
    </row>
    <row r="473" spans="1:15" x14ac:dyDescent="0.35">
      <c r="A473" s="3" t="s">
        <v>185</v>
      </c>
      <c r="B473" s="3" t="s">
        <v>228</v>
      </c>
      <c r="C473" s="3" t="s">
        <v>89</v>
      </c>
      <c r="D473" s="3" t="s">
        <v>125</v>
      </c>
      <c r="E473" s="3" t="s">
        <v>126</v>
      </c>
      <c r="F473" s="3" t="s">
        <v>1139</v>
      </c>
      <c r="G473" s="3" t="s">
        <v>1140</v>
      </c>
      <c r="H473" s="4">
        <v>32589</v>
      </c>
      <c r="I473" s="6" t="s">
        <v>2244</v>
      </c>
      <c r="J473" s="6" t="s">
        <v>2432</v>
      </c>
      <c r="K473" s="6" t="s">
        <v>3019</v>
      </c>
      <c r="L473" s="6" t="s">
        <v>3206</v>
      </c>
      <c r="M473" s="9" t="s">
        <v>3744</v>
      </c>
      <c r="N473" s="5" t="str">
        <f t="shared" ref="N473" si="461">TEXT(H473,"DD-MMM-YYY")</f>
        <v>22-Mar-1989</v>
      </c>
      <c r="O473" s="6" t="s">
        <v>100</v>
      </c>
    </row>
    <row r="474" spans="1:15" x14ac:dyDescent="0.35">
      <c r="A474" s="3" t="s">
        <v>191</v>
      </c>
      <c r="B474" s="3" t="s">
        <v>232</v>
      </c>
      <c r="C474" s="3" t="s">
        <v>103</v>
      </c>
      <c r="D474" s="3" t="s">
        <v>132</v>
      </c>
      <c r="E474" s="3" t="s">
        <v>126</v>
      </c>
      <c r="F474" s="3" t="s">
        <v>1141</v>
      </c>
      <c r="G474" s="3" t="s">
        <v>1142</v>
      </c>
      <c r="H474" s="4">
        <v>33020</v>
      </c>
      <c r="I474" s="6" t="s">
        <v>2245</v>
      </c>
      <c r="J474" s="6" t="s">
        <v>2433</v>
      </c>
      <c r="K474" s="6" t="s">
        <v>3020</v>
      </c>
      <c r="L474" s="6" t="s">
        <v>3170</v>
      </c>
      <c r="M474" s="9" t="s">
        <v>3745</v>
      </c>
      <c r="N474" s="5" t="str">
        <f t="shared" ref="N474" si="462">TEXT(H474, "DD-MMM-YYY")</f>
        <v>27-May-1990</v>
      </c>
      <c r="O474" s="6" t="s">
        <v>3875</v>
      </c>
    </row>
    <row r="475" spans="1:15" x14ac:dyDescent="0.35">
      <c r="A475" s="3" t="s">
        <v>195</v>
      </c>
      <c r="B475" s="3" t="s">
        <v>236</v>
      </c>
      <c r="C475" s="3" t="s">
        <v>110</v>
      </c>
      <c r="D475" s="3" t="s">
        <v>138</v>
      </c>
      <c r="E475" s="3" t="s">
        <v>139</v>
      </c>
      <c r="F475" s="3" t="s">
        <v>1143</v>
      </c>
      <c r="G475" s="3" t="s">
        <v>1144</v>
      </c>
      <c r="H475" s="4">
        <v>33423</v>
      </c>
      <c r="I475" s="6" t="s">
        <v>2246</v>
      </c>
      <c r="J475" s="6" t="s">
        <v>1593</v>
      </c>
      <c r="K475" s="6" t="s">
        <v>3021</v>
      </c>
      <c r="L475" s="6" t="s">
        <v>3171</v>
      </c>
      <c r="M475" s="9" t="s">
        <v>3746</v>
      </c>
      <c r="N475" s="5" t="str">
        <f t="shared" ref="N475" si="463">TEXT(H475,"DD-MMM-YYY")</f>
        <v>04-Jul-1991</v>
      </c>
      <c r="O475" s="6" t="s">
        <v>3876</v>
      </c>
    </row>
    <row r="476" spans="1:15" x14ac:dyDescent="0.35">
      <c r="A476" s="3" t="s">
        <v>199</v>
      </c>
      <c r="B476" s="3" t="s">
        <v>240</v>
      </c>
      <c r="C476" s="3" t="s">
        <v>117</v>
      </c>
      <c r="D476" s="3" t="s">
        <v>145</v>
      </c>
      <c r="E476" s="3" t="s">
        <v>146</v>
      </c>
      <c r="F476" s="3" t="s">
        <v>1145</v>
      </c>
      <c r="G476" s="3" t="s">
        <v>1146</v>
      </c>
      <c r="H476" s="4">
        <v>33856</v>
      </c>
      <c r="I476" s="6" t="s">
        <v>2247</v>
      </c>
      <c r="J476" s="6" t="s">
        <v>2434</v>
      </c>
      <c r="K476" s="6" t="s">
        <v>3022</v>
      </c>
      <c r="L476" s="6" t="s">
        <v>3207</v>
      </c>
      <c r="M476" s="9" t="s">
        <v>3747</v>
      </c>
      <c r="N476" s="5" t="str">
        <f t="shared" ref="N476" si="464">TEXT(H476, "DD-MMM-YYY")</f>
        <v>09-Sept-1992</v>
      </c>
      <c r="O476" s="6" t="s">
        <v>3877</v>
      </c>
    </row>
    <row r="477" spans="1:15" x14ac:dyDescent="0.35">
      <c r="A477" s="3" t="s">
        <v>203</v>
      </c>
      <c r="B477" s="3" t="s">
        <v>244</v>
      </c>
      <c r="C477" s="3" t="s">
        <v>124</v>
      </c>
      <c r="D477" s="3" t="s">
        <v>152</v>
      </c>
      <c r="E477" s="3" t="s">
        <v>153</v>
      </c>
      <c r="F477" s="3" t="s">
        <v>1147</v>
      </c>
      <c r="G477" s="3" t="s">
        <v>1148</v>
      </c>
      <c r="H477" s="4">
        <v>34287</v>
      </c>
      <c r="I477" s="6" t="s">
        <v>2248</v>
      </c>
      <c r="J477" s="6" t="s">
        <v>2435</v>
      </c>
      <c r="K477" s="6" t="s">
        <v>3023</v>
      </c>
      <c r="L477" s="6" t="s">
        <v>166</v>
      </c>
      <c r="M477" s="9" t="s">
        <v>3748</v>
      </c>
      <c r="N477" s="5" t="str">
        <f t="shared" ref="N477" si="465">TEXT(H477,"DD-MMM-YYY")</f>
        <v>14-Nov-1993</v>
      </c>
      <c r="O477" s="6" t="s">
        <v>3878</v>
      </c>
    </row>
    <row r="478" spans="1:15" x14ac:dyDescent="0.35">
      <c r="A478" s="3" t="s">
        <v>207</v>
      </c>
      <c r="B478" s="3" t="s">
        <v>248</v>
      </c>
      <c r="C478" s="3" t="s">
        <v>131</v>
      </c>
      <c r="D478" s="3" t="s">
        <v>159</v>
      </c>
      <c r="E478" s="3" t="s">
        <v>77</v>
      </c>
      <c r="F478" s="3" t="s">
        <v>1149</v>
      </c>
      <c r="G478" s="3" t="s">
        <v>1150</v>
      </c>
      <c r="H478" s="4">
        <v>34353</v>
      </c>
      <c r="I478" s="6" t="s">
        <v>2249</v>
      </c>
      <c r="J478" s="6" t="s">
        <v>2436</v>
      </c>
      <c r="K478" s="6" t="s">
        <v>3024</v>
      </c>
      <c r="L478" s="6" t="s">
        <v>3208</v>
      </c>
      <c r="M478" s="9" t="s">
        <v>3749</v>
      </c>
      <c r="N478" s="5" t="str">
        <f t="shared" ref="N478" si="466">TEXT(H478, "DD-MMM-YYY")</f>
        <v>19-Jan-1994</v>
      </c>
      <c r="O478" s="6" t="s">
        <v>3879</v>
      </c>
    </row>
    <row r="479" spans="1:15" x14ac:dyDescent="0.35">
      <c r="A479" s="3" t="s">
        <v>211</v>
      </c>
      <c r="B479" s="3" t="s">
        <v>252</v>
      </c>
      <c r="C479" s="3" t="s">
        <v>137</v>
      </c>
      <c r="D479" s="3" t="s">
        <v>165</v>
      </c>
      <c r="E479" s="3" t="s">
        <v>166</v>
      </c>
      <c r="F479" s="3" t="s">
        <v>1151</v>
      </c>
      <c r="G479" s="3" t="s">
        <v>1152</v>
      </c>
      <c r="H479" s="4">
        <v>34782</v>
      </c>
      <c r="I479" s="6" t="s">
        <v>2250</v>
      </c>
      <c r="J479" s="6" t="s">
        <v>2437</v>
      </c>
      <c r="K479" s="6" t="s">
        <v>3025</v>
      </c>
      <c r="L479" s="6" t="s">
        <v>3171</v>
      </c>
      <c r="M479" s="9" t="s">
        <v>3750</v>
      </c>
      <c r="N479" s="5" t="str">
        <f t="shared" ref="N479" si="467">TEXT(H479,"DD-MMM-YYY")</f>
        <v>24-Mar-1995</v>
      </c>
      <c r="O479" s="6" t="s">
        <v>3880</v>
      </c>
    </row>
    <row r="480" spans="1:15" x14ac:dyDescent="0.35">
      <c r="A480" s="3" t="s">
        <v>215</v>
      </c>
      <c r="B480" s="3" t="s">
        <v>256</v>
      </c>
      <c r="C480" s="3" t="s">
        <v>144</v>
      </c>
      <c r="D480" s="3" t="s">
        <v>171</v>
      </c>
      <c r="E480" s="3" t="s">
        <v>172</v>
      </c>
      <c r="F480" s="3" t="s">
        <v>1153</v>
      </c>
      <c r="G480" s="3" t="s">
        <v>1154</v>
      </c>
      <c r="H480" s="4">
        <v>35186</v>
      </c>
      <c r="I480" s="6" t="s">
        <v>2251</v>
      </c>
      <c r="J480" s="6" t="s">
        <v>2438</v>
      </c>
      <c r="K480" s="6" t="s">
        <v>3026</v>
      </c>
      <c r="L480" s="6" t="s">
        <v>3176</v>
      </c>
      <c r="M480" s="9" t="s">
        <v>3751</v>
      </c>
      <c r="N480" s="5" t="str">
        <f t="shared" ref="N480" si="468">TEXT(H480, "DD-MMM-YYY")</f>
        <v>01-May-1996</v>
      </c>
      <c r="O480" s="6" t="s">
        <v>3881</v>
      </c>
    </row>
    <row r="481" spans="1:15" x14ac:dyDescent="0.35">
      <c r="A481" s="3" t="s">
        <v>219</v>
      </c>
      <c r="B481" s="3" t="s">
        <v>260</v>
      </c>
      <c r="C481" s="3" t="s">
        <v>151</v>
      </c>
      <c r="D481" s="3" t="s">
        <v>162</v>
      </c>
      <c r="E481" s="3" t="s">
        <v>63</v>
      </c>
      <c r="F481" s="3" t="s">
        <v>1155</v>
      </c>
      <c r="G481" s="3" t="s">
        <v>1156</v>
      </c>
      <c r="H481" s="4">
        <v>35617</v>
      </c>
      <c r="I481" s="6" t="s">
        <v>2252</v>
      </c>
      <c r="J481" s="6" t="s">
        <v>2439</v>
      </c>
      <c r="K481" s="6" t="s">
        <v>3027</v>
      </c>
      <c r="L481" s="6" t="s">
        <v>3209</v>
      </c>
      <c r="M481" s="9" t="s">
        <v>3752</v>
      </c>
      <c r="N481" s="5" t="str">
        <f t="shared" ref="N481" si="469">TEXT(H481,"DD-MMM-YYY")</f>
        <v>06-Jul-1997</v>
      </c>
      <c r="O481" s="6" t="s">
        <v>3882</v>
      </c>
    </row>
    <row r="482" spans="1:15" x14ac:dyDescent="0.35">
      <c r="A482" s="3" t="s">
        <v>223</v>
      </c>
      <c r="B482" s="3" t="s">
        <v>264</v>
      </c>
      <c r="C482" s="3" t="s">
        <v>158</v>
      </c>
      <c r="D482" s="3" t="s">
        <v>181</v>
      </c>
      <c r="E482" s="3" t="s">
        <v>182</v>
      </c>
      <c r="F482" s="3" t="s">
        <v>1157</v>
      </c>
      <c r="G482" s="3" t="s">
        <v>1158</v>
      </c>
      <c r="H482" s="4">
        <v>36049</v>
      </c>
      <c r="I482" s="6" t="s">
        <v>2253</v>
      </c>
      <c r="J482" s="6" t="s">
        <v>2440</v>
      </c>
      <c r="K482" s="6" t="s">
        <v>3028</v>
      </c>
      <c r="L482" s="6" t="s">
        <v>3210</v>
      </c>
      <c r="M482" s="9" t="s">
        <v>3753</v>
      </c>
      <c r="N482" s="5" t="str">
        <f t="shared" ref="N482" si="470">TEXT(H482, "DD-MMM-YYY")</f>
        <v>11-Sept-1998</v>
      </c>
      <c r="O482" s="6" t="s">
        <v>3883</v>
      </c>
    </row>
    <row r="483" spans="1:15" x14ac:dyDescent="0.35">
      <c r="A483" s="3" t="s">
        <v>227</v>
      </c>
      <c r="B483" s="3" t="s">
        <v>268</v>
      </c>
      <c r="C483" s="3" t="s">
        <v>164</v>
      </c>
      <c r="D483" s="3" t="s">
        <v>187</v>
      </c>
      <c r="E483" s="3" t="s">
        <v>188</v>
      </c>
      <c r="F483" s="3" t="s">
        <v>1159</v>
      </c>
      <c r="G483" s="3" t="s">
        <v>1160</v>
      </c>
      <c r="H483" s="4">
        <v>36480</v>
      </c>
      <c r="I483" s="6" t="s">
        <v>2254</v>
      </c>
      <c r="J483" s="6" t="s">
        <v>2441</v>
      </c>
      <c r="K483" s="6" t="s">
        <v>3029</v>
      </c>
      <c r="L483" s="6" t="s">
        <v>3211</v>
      </c>
      <c r="M483" s="9" t="s">
        <v>3754</v>
      </c>
      <c r="N483" s="5" t="str">
        <f t="shared" ref="N483" si="471">TEXT(H483,"DD-MMM-YYY")</f>
        <v>16-Nov-1999</v>
      </c>
      <c r="O483" s="6" t="s">
        <v>3884</v>
      </c>
    </row>
    <row r="484" spans="1:15" x14ac:dyDescent="0.35">
      <c r="A484" s="3" t="s">
        <v>231</v>
      </c>
      <c r="B484" s="3" t="s">
        <v>18</v>
      </c>
      <c r="C484" s="3" t="s">
        <v>19</v>
      </c>
      <c r="D484" s="3" t="s">
        <v>20</v>
      </c>
      <c r="E484" s="3" t="s">
        <v>21</v>
      </c>
      <c r="F484" s="3" t="s">
        <v>1161</v>
      </c>
      <c r="G484" s="3" t="s">
        <v>1162</v>
      </c>
      <c r="H484" s="4">
        <v>31068</v>
      </c>
      <c r="I484" s="6" t="s">
        <v>2255</v>
      </c>
      <c r="J484" s="6" t="s">
        <v>2442</v>
      </c>
      <c r="K484" s="6" t="s">
        <v>3030</v>
      </c>
      <c r="L484" s="6" t="s">
        <v>27</v>
      </c>
      <c r="M484" s="9" t="s">
        <v>3755</v>
      </c>
      <c r="N484" s="5" t="str">
        <f t="shared" ref="N484" si="472">TEXT(H484, "DD-MMM-YYY")</f>
        <v>21-Jan-1985</v>
      </c>
      <c r="O484" s="6" t="s">
        <v>30</v>
      </c>
    </row>
    <row r="485" spans="1:15" x14ac:dyDescent="0.35">
      <c r="A485" s="3" t="s">
        <v>235</v>
      </c>
      <c r="B485" s="3" t="s">
        <v>32</v>
      </c>
      <c r="C485" s="3" t="s">
        <v>33</v>
      </c>
      <c r="D485" s="3" t="s">
        <v>34</v>
      </c>
      <c r="E485" s="3" t="s">
        <v>35</v>
      </c>
      <c r="F485" s="3" t="s">
        <v>1163</v>
      </c>
      <c r="G485" s="3" t="s">
        <v>1164</v>
      </c>
      <c r="H485" s="4">
        <v>31497</v>
      </c>
      <c r="I485" s="6" t="s">
        <v>2256</v>
      </c>
      <c r="J485" s="6" t="s">
        <v>1488</v>
      </c>
      <c r="K485" s="6" t="s">
        <v>3031</v>
      </c>
      <c r="L485" s="6" t="s">
        <v>3212</v>
      </c>
      <c r="M485" s="9" t="s">
        <v>3756</v>
      </c>
      <c r="N485" s="5" t="str">
        <f t="shared" ref="N485" si="473">TEXT(H485,"DD-MMM-YYY")</f>
        <v>26-Mar-1986</v>
      </c>
      <c r="O485" s="6" t="s">
        <v>44</v>
      </c>
    </row>
    <row r="486" spans="1:15" x14ac:dyDescent="0.35">
      <c r="A486" s="3" t="s">
        <v>239</v>
      </c>
      <c r="B486" s="3" t="s">
        <v>46</v>
      </c>
      <c r="C486" s="3" t="s">
        <v>47</v>
      </c>
      <c r="D486" s="3" t="s">
        <v>48</v>
      </c>
      <c r="E486" s="3" t="s">
        <v>49</v>
      </c>
      <c r="F486" s="3" t="s">
        <v>1165</v>
      </c>
      <c r="G486" s="3" t="s">
        <v>1166</v>
      </c>
      <c r="H486" s="4">
        <v>31900</v>
      </c>
      <c r="I486" s="6" t="s">
        <v>2257</v>
      </c>
      <c r="J486" s="6" t="s">
        <v>2443</v>
      </c>
      <c r="K486" s="6" t="s">
        <v>3032</v>
      </c>
      <c r="L486" s="6" t="s">
        <v>3213</v>
      </c>
      <c r="M486" s="9" t="s">
        <v>3757</v>
      </c>
      <c r="N486" s="5" t="str">
        <f t="shared" ref="N486" si="474">TEXT(H486, "DD-MMM-YYY")</f>
        <v>03-May-1987</v>
      </c>
      <c r="O486" s="6" t="s">
        <v>58</v>
      </c>
    </row>
    <row r="487" spans="1:15" x14ac:dyDescent="0.35">
      <c r="A487" s="3" t="s">
        <v>243</v>
      </c>
      <c r="B487" s="3" t="s">
        <v>60</v>
      </c>
      <c r="C487" s="3" t="s">
        <v>61</v>
      </c>
      <c r="D487" s="3" t="s">
        <v>62</v>
      </c>
      <c r="E487" s="3" t="s">
        <v>63</v>
      </c>
      <c r="F487" s="3" t="s">
        <v>1167</v>
      </c>
      <c r="G487" s="3" t="s">
        <v>1168</v>
      </c>
      <c r="H487" s="4">
        <v>32332</v>
      </c>
      <c r="I487" s="6" t="s">
        <v>2258</v>
      </c>
      <c r="J487" s="6" t="s">
        <v>2444</v>
      </c>
      <c r="K487" s="6" t="s">
        <v>3033</v>
      </c>
      <c r="L487" s="6" t="s">
        <v>3214</v>
      </c>
      <c r="M487" s="9" t="s">
        <v>3758</v>
      </c>
      <c r="N487" s="5" t="str">
        <f t="shared" ref="N487" si="475">TEXT(H487,"DD-MMM-YYY")</f>
        <v>08-Jul-1988</v>
      </c>
      <c r="O487" s="6" t="s">
        <v>72</v>
      </c>
    </row>
    <row r="488" spans="1:15" x14ac:dyDescent="0.35">
      <c r="A488" s="3" t="s">
        <v>247</v>
      </c>
      <c r="B488" s="3" t="s">
        <v>74</v>
      </c>
      <c r="C488" s="3" t="s">
        <v>75</v>
      </c>
      <c r="D488" s="3" t="s">
        <v>76</v>
      </c>
      <c r="E488" s="3" t="s">
        <v>77</v>
      </c>
      <c r="F488" s="3" t="s">
        <v>1169</v>
      </c>
      <c r="G488" s="3" t="s">
        <v>1170</v>
      </c>
      <c r="H488" s="4">
        <v>32764</v>
      </c>
      <c r="I488" s="6" t="s">
        <v>2259</v>
      </c>
      <c r="J488" s="6" t="s">
        <v>2445</v>
      </c>
      <c r="K488" s="6" t="s">
        <v>3034</v>
      </c>
      <c r="L488" s="6" t="s">
        <v>3215</v>
      </c>
      <c r="M488" s="9" t="s">
        <v>3759</v>
      </c>
      <c r="N488" s="5" t="str">
        <f t="shared" ref="N488" si="476">TEXT(H488, "DD-MMM-YYY")</f>
        <v>13-Sept-1989</v>
      </c>
      <c r="O488" s="6" t="s">
        <v>86</v>
      </c>
    </row>
    <row r="489" spans="1:15" x14ac:dyDescent="0.35">
      <c r="A489" s="3" t="s">
        <v>251</v>
      </c>
      <c r="B489" s="3" t="s">
        <v>88</v>
      </c>
      <c r="C489" s="3" t="s">
        <v>89</v>
      </c>
      <c r="D489" s="3" t="s">
        <v>90</v>
      </c>
      <c r="E489" s="3" t="s">
        <v>91</v>
      </c>
      <c r="F489" s="3" t="s">
        <v>1171</v>
      </c>
      <c r="G489" s="3" t="s">
        <v>1172</v>
      </c>
      <c r="H489" s="4">
        <v>33195</v>
      </c>
      <c r="I489" s="6" t="s">
        <v>2260</v>
      </c>
      <c r="J489" s="6" t="s">
        <v>2446</v>
      </c>
      <c r="K489" s="6" t="s">
        <v>3035</v>
      </c>
      <c r="L489" s="6" t="s">
        <v>3216</v>
      </c>
      <c r="M489" s="9" t="s">
        <v>3760</v>
      </c>
      <c r="N489" s="5" t="str">
        <f t="shared" ref="N489" si="477">TEXT(H489,"DD-MMM-YYY")</f>
        <v>18-Nov-1990</v>
      </c>
      <c r="O489" s="6" t="s">
        <v>100</v>
      </c>
    </row>
    <row r="490" spans="1:15" x14ac:dyDescent="0.35">
      <c r="A490" s="3" t="s">
        <v>255</v>
      </c>
      <c r="B490" s="3" t="s">
        <v>102</v>
      </c>
      <c r="C490" s="3" t="s">
        <v>103</v>
      </c>
      <c r="D490" s="3" t="s">
        <v>104</v>
      </c>
      <c r="E490" s="3" t="s">
        <v>105</v>
      </c>
      <c r="F490" s="3" t="s">
        <v>1173</v>
      </c>
      <c r="G490" s="3" t="s">
        <v>1174</v>
      </c>
      <c r="H490" s="4">
        <v>33261</v>
      </c>
      <c r="I490" s="6" t="s">
        <v>2261</v>
      </c>
      <c r="J490" s="6" t="s">
        <v>2447</v>
      </c>
      <c r="K490" s="6" t="s">
        <v>3036</v>
      </c>
      <c r="L490" s="6" t="s">
        <v>3153</v>
      </c>
      <c r="M490" s="9" t="s">
        <v>3761</v>
      </c>
      <c r="N490" s="5" t="str">
        <f t="shared" ref="N490" si="478">TEXT(H490, "DD-MMM-YYY")</f>
        <v>23-Jan-1991</v>
      </c>
      <c r="O490" s="6" t="s">
        <v>3875</v>
      </c>
    </row>
    <row r="491" spans="1:15" x14ac:dyDescent="0.35">
      <c r="A491" s="3" t="s">
        <v>259</v>
      </c>
      <c r="B491" s="3" t="s">
        <v>109</v>
      </c>
      <c r="C491" s="3" t="s">
        <v>110</v>
      </c>
      <c r="D491" s="3" t="s">
        <v>111</v>
      </c>
      <c r="E491" s="3" t="s">
        <v>112</v>
      </c>
      <c r="F491" s="3" t="s">
        <v>1175</v>
      </c>
      <c r="G491" s="3" t="s">
        <v>1176</v>
      </c>
      <c r="H491" s="4">
        <v>33691</v>
      </c>
      <c r="I491" s="6" t="s">
        <v>2262</v>
      </c>
      <c r="J491" s="6" t="s">
        <v>2448</v>
      </c>
      <c r="K491" s="6" t="s">
        <v>3037</v>
      </c>
      <c r="L491" s="6" t="s">
        <v>3217</v>
      </c>
      <c r="M491" s="9" t="s">
        <v>3762</v>
      </c>
      <c r="N491" s="5" t="str">
        <f t="shared" ref="N491" si="479">TEXT(H491,"DD-MMM-YYY")</f>
        <v>28-Mar-1992</v>
      </c>
      <c r="O491" s="6" t="s">
        <v>3876</v>
      </c>
    </row>
    <row r="492" spans="1:15" x14ac:dyDescent="0.35">
      <c r="A492" s="3" t="s">
        <v>263</v>
      </c>
      <c r="B492" s="3" t="s">
        <v>116</v>
      </c>
      <c r="C492" s="3" t="s">
        <v>117</v>
      </c>
      <c r="D492" s="3" t="s">
        <v>118</v>
      </c>
      <c r="E492" s="3" t="s">
        <v>119</v>
      </c>
      <c r="F492" s="3" t="s">
        <v>1177</v>
      </c>
      <c r="G492" s="3" t="s">
        <v>1178</v>
      </c>
      <c r="H492" s="4">
        <v>34094</v>
      </c>
      <c r="I492" s="6" t="s">
        <v>2263</v>
      </c>
      <c r="J492" s="6" t="s">
        <v>2449</v>
      </c>
      <c r="K492" s="6" t="s">
        <v>3038</v>
      </c>
      <c r="L492" s="6" t="s">
        <v>3199</v>
      </c>
      <c r="M492" s="9" t="s">
        <v>3763</v>
      </c>
      <c r="N492" s="5" t="str">
        <f t="shared" ref="N492" si="480">TEXT(H492, "DD-MMM-YYY")</f>
        <v>05-May-1993</v>
      </c>
      <c r="O492" s="6" t="s">
        <v>3877</v>
      </c>
    </row>
    <row r="493" spans="1:15" x14ac:dyDescent="0.35">
      <c r="A493" s="3" t="s">
        <v>267</v>
      </c>
      <c r="B493" s="3" t="s">
        <v>123</v>
      </c>
      <c r="C493" s="3" t="s">
        <v>124</v>
      </c>
      <c r="D493" s="3" t="s">
        <v>125</v>
      </c>
      <c r="E493" s="3" t="s">
        <v>126</v>
      </c>
      <c r="F493" s="3" t="s">
        <v>1179</v>
      </c>
      <c r="G493" s="3" t="s">
        <v>1180</v>
      </c>
      <c r="H493" s="4">
        <v>34525</v>
      </c>
      <c r="I493" s="6" t="s">
        <v>2264</v>
      </c>
      <c r="J493" s="6" t="s">
        <v>2450</v>
      </c>
      <c r="K493" s="6" t="s">
        <v>3039</v>
      </c>
      <c r="L493" s="6" t="s">
        <v>3179</v>
      </c>
      <c r="M493" s="9" t="s">
        <v>3764</v>
      </c>
      <c r="N493" s="5" t="str">
        <f t="shared" ref="N493" si="481">TEXT(H493,"DD-MMM-YYY")</f>
        <v>10-Jul-1994</v>
      </c>
      <c r="O493" s="6" t="s">
        <v>3878</v>
      </c>
    </row>
    <row r="494" spans="1:15" x14ac:dyDescent="0.35">
      <c r="A494" s="3" t="s">
        <v>271</v>
      </c>
      <c r="B494" s="3" t="s">
        <v>130</v>
      </c>
      <c r="C494" s="3" t="s">
        <v>131</v>
      </c>
      <c r="D494" s="3" t="s">
        <v>132</v>
      </c>
      <c r="E494" s="3" t="s">
        <v>126</v>
      </c>
      <c r="F494" s="3" t="s">
        <v>1181</v>
      </c>
      <c r="G494" s="3" t="s">
        <v>1182</v>
      </c>
      <c r="H494" s="4">
        <v>34957</v>
      </c>
      <c r="I494" s="6" t="s">
        <v>2265</v>
      </c>
      <c r="J494" s="6" t="s">
        <v>2451</v>
      </c>
      <c r="K494" s="6" t="s">
        <v>3040</v>
      </c>
      <c r="L494" s="6" t="s">
        <v>3218</v>
      </c>
      <c r="M494" s="9" t="s">
        <v>3765</v>
      </c>
      <c r="N494" s="5" t="str">
        <f t="shared" ref="N494" si="482">TEXT(H494, "DD-MMM-YYY")</f>
        <v>15-Sept-1995</v>
      </c>
      <c r="O494" s="6" t="s">
        <v>3879</v>
      </c>
    </row>
    <row r="495" spans="1:15" x14ac:dyDescent="0.35">
      <c r="A495" s="3" t="s">
        <v>274</v>
      </c>
      <c r="B495" s="3" t="s">
        <v>136</v>
      </c>
      <c r="C495" s="3" t="s">
        <v>137</v>
      </c>
      <c r="D495" s="3" t="s">
        <v>138</v>
      </c>
      <c r="E495" s="3" t="s">
        <v>139</v>
      </c>
      <c r="F495" s="3" t="s">
        <v>1183</v>
      </c>
      <c r="G495" s="3" t="s">
        <v>1184</v>
      </c>
      <c r="H495" s="4">
        <v>35389</v>
      </c>
      <c r="I495" s="6" t="s">
        <v>2266</v>
      </c>
      <c r="J495" s="6" t="s">
        <v>1653</v>
      </c>
      <c r="K495" s="6" t="s">
        <v>3041</v>
      </c>
      <c r="L495" s="6" t="s">
        <v>3219</v>
      </c>
      <c r="M495" s="9" t="s">
        <v>3766</v>
      </c>
      <c r="N495" s="5" t="str">
        <f t="shared" ref="N495" si="483">TEXT(H495,"DD-MMM-YYY")</f>
        <v>20-Nov-1996</v>
      </c>
      <c r="O495" s="6" t="s">
        <v>3880</v>
      </c>
    </row>
    <row r="496" spans="1:15" x14ac:dyDescent="0.35">
      <c r="A496" s="3" t="s">
        <v>277</v>
      </c>
      <c r="B496" s="3" t="s">
        <v>143</v>
      </c>
      <c r="C496" s="3" t="s">
        <v>144</v>
      </c>
      <c r="D496" s="3" t="s">
        <v>145</v>
      </c>
      <c r="E496" s="3" t="s">
        <v>146</v>
      </c>
      <c r="F496" s="3" t="s">
        <v>1185</v>
      </c>
      <c r="G496" s="3" t="s">
        <v>1186</v>
      </c>
      <c r="H496" s="4">
        <v>35455</v>
      </c>
      <c r="I496" s="6" t="s">
        <v>2267</v>
      </c>
      <c r="J496" s="6" t="s">
        <v>2452</v>
      </c>
      <c r="K496" s="6" t="s">
        <v>3042</v>
      </c>
      <c r="L496" s="6" t="s">
        <v>3220</v>
      </c>
      <c r="M496" s="9" t="s">
        <v>3767</v>
      </c>
      <c r="N496" s="5" t="str">
        <f t="shared" ref="N496" si="484">TEXT(H496, "DD-MMM-YYY")</f>
        <v>25-Jan-1997</v>
      </c>
      <c r="O496" s="6" t="s">
        <v>3881</v>
      </c>
    </row>
    <row r="497" spans="1:15" x14ac:dyDescent="0.35">
      <c r="A497" s="3" t="s">
        <v>280</v>
      </c>
      <c r="B497" s="3" t="s">
        <v>150</v>
      </c>
      <c r="C497" s="3" t="s">
        <v>151</v>
      </c>
      <c r="D497" s="3" t="s">
        <v>152</v>
      </c>
      <c r="E497" s="3" t="s">
        <v>153</v>
      </c>
      <c r="F497" s="3" t="s">
        <v>1187</v>
      </c>
      <c r="G497" s="3" t="s">
        <v>1188</v>
      </c>
      <c r="H497" s="4">
        <v>35856</v>
      </c>
      <c r="I497" s="6" t="s">
        <v>2268</v>
      </c>
      <c r="J497" s="6" t="s">
        <v>2453</v>
      </c>
      <c r="K497" s="6" t="s">
        <v>3043</v>
      </c>
      <c r="L497" s="6" t="s">
        <v>3221</v>
      </c>
      <c r="M497" s="9" t="s">
        <v>3768</v>
      </c>
      <c r="N497" s="5" t="str">
        <f t="shared" ref="N497" si="485">TEXT(H497,"DD-MMM-YYY")</f>
        <v>02-Mar-1998</v>
      </c>
      <c r="O497" s="6" t="s">
        <v>3882</v>
      </c>
    </row>
    <row r="498" spans="1:15" x14ac:dyDescent="0.35">
      <c r="A498" s="3" t="s">
        <v>283</v>
      </c>
      <c r="B498" s="3" t="s">
        <v>157</v>
      </c>
      <c r="C498" s="3" t="s">
        <v>158</v>
      </c>
      <c r="D498" s="3" t="s">
        <v>159</v>
      </c>
      <c r="E498" s="3" t="s">
        <v>77</v>
      </c>
      <c r="F498" s="3" t="s">
        <v>1189</v>
      </c>
      <c r="G498" s="3" t="s">
        <v>1190</v>
      </c>
      <c r="H498" s="4">
        <v>36287</v>
      </c>
      <c r="I498" s="6" t="s">
        <v>2269</v>
      </c>
      <c r="J498" s="6" t="s">
        <v>2454</v>
      </c>
      <c r="K498" s="6" t="s">
        <v>3044</v>
      </c>
      <c r="L498" s="6" t="s">
        <v>3151</v>
      </c>
      <c r="M498" s="9" t="s">
        <v>3769</v>
      </c>
      <c r="N498" s="5" t="str">
        <f t="shared" ref="N498" si="486">TEXT(H498, "DD-MMM-YYY")</f>
        <v>07-May-1999</v>
      </c>
      <c r="O498" s="6" t="s">
        <v>3883</v>
      </c>
    </row>
    <row r="499" spans="1:15" x14ac:dyDescent="0.35">
      <c r="A499" s="3" t="s">
        <v>286</v>
      </c>
      <c r="B499" s="3" t="s">
        <v>163</v>
      </c>
      <c r="C499" s="3" t="s">
        <v>164</v>
      </c>
      <c r="D499" s="3" t="s">
        <v>165</v>
      </c>
      <c r="E499" s="3" t="s">
        <v>166</v>
      </c>
      <c r="F499" s="3" t="s">
        <v>1191</v>
      </c>
      <c r="G499" s="3" t="s">
        <v>1192</v>
      </c>
      <c r="H499" s="4">
        <v>31240</v>
      </c>
      <c r="I499" s="6" t="s">
        <v>2270</v>
      </c>
      <c r="J499" s="6" t="s">
        <v>2455</v>
      </c>
      <c r="K499" s="6" t="s">
        <v>3045</v>
      </c>
      <c r="L499" s="6" t="s">
        <v>3222</v>
      </c>
      <c r="M499" s="9" t="s">
        <v>3770</v>
      </c>
      <c r="N499" s="5" t="str">
        <f t="shared" ref="N499" si="487">TEXT(H499,"DD-MMM-YYY")</f>
        <v>12-Jul-1985</v>
      </c>
      <c r="O499" s="6" t="s">
        <v>3884</v>
      </c>
    </row>
    <row r="500" spans="1:15" x14ac:dyDescent="0.35">
      <c r="A500" s="3" t="s">
        <v>289</v>
      </c>
      <c r="B500" s="3" t="s">
        <v>170</v>
      </c>
      <c r="C500" s="3" t="s">
        <v>19</v>
      </c>
      <c r="D500" s="3" t="s">
        <v>171</v>
      </c>
      <c r="E500" s="3" t="s">
        <v>172</v>
      </c>
      <c r="F500" s="3" t="s">
        <v>1193</v>
      </c>
      <c r="G500" s="3" t="s">
        <v>1194</v>
      </c>
      <c r="H500" s="4">
        <v>31672</v>
      </c>
      <c r="I500" s="6" t="s">
        <v>2271</v>
      </c>
      <c r="J500" s="6" t="s">
        <v>2456</v>
      </c>
      <c r="K500" s="6" t="s">
        <v>3046</v>
      </c>
      <c r="L500" s="6" t="s">
        <v>3223</v>
      </c>
      <c r="M500" s="9" t="s">
        <v>3771</v>
      </c>
      <c r="N500" s="5" t="str">
        <f t="shared" ref="N500" si="488">TEXT(H500, "DD-MMM-YYY")</f>
        <v>17-Sept-1986</v>
      </c>
      <c r="O500" s="6" t="s">
        <v>30</v>
      </c>
    </row>
    <row r="501" spans="1:15" x14ac:dyDescent="0.35">
      <c r="A501" s="3" t="s">
        <v>292</v>
      </c>
      <c r="B501" s="3" t="s">
        <v>176</v>
      </c>
      <c r="C501" s="3" t="s">
        <v>33</v>
      </c>
      <c r="D501" s="3" t="s">
        <v>162</v>
      </c>
      <c r="E501" s="3" t="s">
        <v>63</v>
      </c>
      <c r="F501" s="3" t="s">
        <v>1195</v>
      </c>
      <c r="G501" s="3" t="s">
        <v>1196</v>
      </c>
      <c r="H501" s="4">
        <v>32103</v>
      </c>
      <c r="I501" s="6" t="s">
        <v>2272</v>
      </c>
      <c r="J501" s="6" t="s">
        <v>2457</v>
      </c>
      <c r="K501" s="6" t="s">
        <v>3047</v>
      </c>
      <c r="L501" s="6" t="s">
        <v>3224</v>
      </c>
      <c r="M501" s="9" t="s">
        <v>3772</v>
      </c>
      <c r="N501" s="5" t="str">
        <f t="shared" ref="N501" si="489">TEXT(H501,"DD-MMM-YYY")</f>
        <v>22-Nov-1987</v>
      </c>
      <c r="O501" s="6" t="s">
        <v>44</v>
      </c>
    </row>
    <row r="502" spans="1:15" x14ac:dyDescent="0.35">
      <c r="A502" s="3" t="s">
        <v>295</v>
      </c>
      <c r="B502" s="3" t="s">
        <v>180</v>
      </c>
      <c r="C502" s="3" t="s">
        <v>47</v>
      </c>
      <c r="D502" s="3" t="s">
        <v>181</v>
      </c>
      <c r="E502" s="3" t="s">
        <v>182</v>
      </c>
      <c r="F502" s="3" t="s">
        <v>1197</v>
      </c>
      <c r="G502" s="3" t="s">
        <v>1198</v>
      </c>
      <c r="H502" s="4">
        <v>32169</v>
      </c>
      <c r="I502" s="6" t="s">
        <v>2273</v>
      </c>
      <c r="J502" s="6" t="s">
        <v>2458</v>
      </c>
      <c r="K502" s="6" t="s">
        <v>3048</v>
      </c>
      <c r="L502" s="6" t="s">
        <v>3225</v>
      </c>
      <c r="M502" s="9" t="s">
        <v>3773</v>
      </c>
      <c r="N502" s="5" t="str">
        <f t="shared" ref="N502" si="490">TEXT(H502, "DD-MMM-YYY")</f>
        <v>27-Jan-1988</v>
      </c>
      <c r="O502" s="6" t="s">
        <v>58</v>
      </c>
    </row>
    <row r="503" spans="1:15" x14ac:dyDescent="0.35">
      <c r="A503" s="3" t="s">
        <v>298</v>
      </c>
      <c r="B503" s="3" t="s">
        <v>186</v>
      </c>
      <c r="C503" s="3" t="s">
        <v>61</v>
      </c>
      <c r="D503" s="3" t="s">
        <v>187</v>
      </c>
      <c r="E503" s="3" t="s">
        <v>188</v>
      </c>
      <c r="F503" s="3" t="s">
        <v>1199</v>
      </c>
      <c r="G503" s="3" t="s">
        <v>1200</v>
      </c>
      <c r="H503" s="4">
        <v>32571</v>
      </c>
      <c r="I503" s="6" t="s">
        <v>2274</v>
      </c>
      <c r="J503" s="6" t="s">
        <v>2459</v>
      </c>
      <c r="K503" s="6" t="s">
        <v>3049</v>
      </c>
      <c r="L503" s="6" t="s">
        <v>3226</v>
      </c>
      <c r="M503" s="9" t="s">
        <v>3774</v>
      </c>
      <c r="N503" s="5" t="str">
        <f t="shared" ref="N503" si="491">TEXT(H503,"DD-MMM-YYY")</f>
        <v>04-Mar-1989</v>
      </c>
      <c r="O503" s="6" t="s">
        <v>72</v>
      </c>
    </row>
    <row r="504" spans="1:15" x14ac:dyDescent="0.35">
      <c r="A504" s="3" t="s">
        <v>17</v>
      </c>
      <c r="B504" s="3" t="s">
        <v>192</v>
      </c>
      <c r="C504" s="3" t="s">
        <v>75</v>
      </c>
      <c r="D504" s="3" t="s">
        <v>20</v>
      </c>
      <c r="E504" s="3" t="s">
        <v>21</v>
      </c>
      <c r="F504" s="3" t="s">
        <v>1201</v>
      </c>
      <c r="G504" s="3" t="s">
        <v>1202</v>
      </c>
      <c r="H504" s="4">
        <v>33002</v>
      </c>
      <c r="I504" s="6" t="s">
        <v>2275</v>
      </c>
      <c r="J504" s="6" t="s">
        <v>2460</v>
      </c>
      <c r="K504" s="6" t="s">
        <v>3050</v>
      </c>
      <c r="L504" s="6" t="s">
        <v>3162</v>
      </c>
      <c r="M504" s="9" t="s">
        <v>3775</v>
      </c>
      <c r="N504" s="5" t="str">
        <f t="shared" ref="N504" si="492">TEXT(H504, "DD-MMM-YYY")</f>
        <v>09-May-1990</v>
      </c>
      <c r="O504" s="6" t="s">
        <v>86</v>
      </c>
    </row>
    <row r="505" spans="1:15" x14ac:dyDescent="0.35">
      <c r="A505" s="3" t="s">
        <v>31</v>
      </c>
      <c r="B505" s="3" t="s">
        <v>196</v>
      </c>
      <c r="C505" s="3" t="s">
        <v>89</v>
      </c>
      <c r="D505" s="3" t="s">
        <v>34</v>
      </c>
      <c r="E505" s="3" t="s">
        <v>35</v>
      </c>
      <c r="F505" s="3" t="s">
        <v>1203</v>
      </c>
      <c r="G505" s="3" t="s">
        <v>1204</v>
      </c>
      <c r="H505" s="4">
        <v>33433</v>
      </c>
      <c r="I505" s="6" t="s">
        <v>2276</v>
      </c>
      <c r="J505" s="6" t="s">
        <v>1583</v>
      </c>
      <c r="K505" s="6" t="s">
        <v>3051</v>
      </c>
      <c r="L505" s="6" t="s">
        <v>3227</v>
      </c>
      <c r="M505" s="9" t="s">
        <v>3776</v>
      </c>
      <c r="N505" s="5" t="str">
        <f t="shared" ref="N505" si="493">TEXT(H505,"DD-MMM-YYY")</f>
        <v>14-Jul-1991</v>
      </c>
      <c r="O505" s="6" t="s">
        <v>100</v>
      </c>
    </row>
    <row r="506" spans="1:15" x14ac:dyDescent="0.35">
      <c r="A506" s="3" t="s">
        <v>45</v>
      </c>
      <c r="B506" s="3" t="s">
        <v>200</v>
      </c>
      <c r="C506" s="3" t="s">
        <v>103</v>
      </c>
      <c r="D506" s="3" t="s">
        <v>48</v>
      </c>
      <c r="E506" s="3" t="s">
        <v>49</v>
      </c>
      <c r="F506" s="3" t="s">
        <v>1205</v>
      </c>
      <c r="G506" s="3" t="s">
        <v>1206</v>
      </c>
      <c r="H506" s="4">
        <v>33866</v>
      </c>
      <c r="I506" s="6" t="s">
        <v>2277</v>
      </c>
      <c r="J506" s="6" t="s">
        <v>2461</v>
      </c>
      <c r="K506" s="6" t="s">
        <v>3052</v>
      </c>
      <c r="L506" s="6" t="s">
        <v>3228</v>
      </c>
      <c r="M506" s="9" t="s">
        <v>3777</v>
      </c>
      <c r="N506" s="5" t="str">
        <f t="shared" ref="N506" si="494">TEXT(H506, "DD-MMM-YYY")</f>
        <v>19-Sept-1992</v>
      </c>
      <c r="O506" s="6" t="s">
        <v>3875</v>
      </c>
    </row>
    <row r="507" spans="1:15" x14ac:dyDescent="0.35">
      <c r="A507" s="3" t="s">
        <v>59</v>
      </c>
      <c r="B507" s="3" t="s">
        <v>204</v>
      </c>
      <c r="C507" s="3" t="s">
        <v>110</v>
      </c>
      <c r="D507" s="3" t="s">
        <v>62</v>
      </c>
      <c r="E507" s="3" t="s">
        <v>63</v>
      </c>
      <c r="F507" s="3" t="s">
        <v>1207</v>
      </c>
      <c r="G507" s="3" t="s">
        <v>1208</v>
      </c>
      <c r="H507" s="4">
        <v>34297</v>
      </c>
      <c r="I507" s="6" t="s">
        <v>2278</v>
      </c>
      <c r="J507" s="6" t="s">
        <v>2462</v>
      </c>
      <c r="K507" s="6" t="s">
        <v>3053</v>
      </c>
      <c r="L507" s="6" t="s">
        <v>3200</v>
      </c>
      <c r="M507" s="9" t="s">
        <v>3778</v>
      </c>
      <c r="N507" s="5" t="str">
        <f t="shared" ref="N507" si="495">TEXT(H507,"DD-MMM-YYY")</f>
        <v>24-Nov-1993</v>
      </c>
      <c r="O507" s="6" t="s">
        <v>3876</v>
      </c>
    </row>
    <row r="508" spans="1:15" x14ac:dyDescent="0.35">
      <c r="A508" s="3" t="s">
        <v>73</v>
      </c>
      <c r="B508" s="3" t="s">
        <v>208</v>
      </c>
      <c r="C508" s="3" t="s">
        <v>117</v>
      </c>
      <c r="D508" s="3" t="s">
        <v>76</v>
      </c>
      <c r="E508" s="3" t="s">
        <v>77</v>
      </c>
      <c r="F508" s="3" t="s">
        <v>1209</v>
      </c>
      <c r="G508" s="3" t="s">
        <v>1210</v>
      </c>
      <c r="H508" s="4">
        <v>34335</v>
      </c>
      <c r="I508" s="6" t="s">
        <v>2279</v>
      </c>
      <c r="J508" s="6" t="s">
        <v>2463</v>
      </c>
      <c r="K508" s="6" t="s">
        <v>3054</v>
      </c>
      <c r="L508" s="6" t="s">
        <v>3229</v>
      </c>
      <c r="M508" s="9" t="s">
        <v>3779</v>
      </c>
      <c r="N508" s="5" t="str">
        <f t="shared" ref="N508" si="496">TEXT(H508, "DD-MMM-YYY")</f>
        <v>01-Jan-1994</v>
      </c>
      <c r="O508" s="6" t="s">
        <v>3877</v>
      </c>
    </row>
    <row r="509" spans="1:15" x14ac:dyDescent="0.35">
      <c r="A509" s="3" t="s">
        <v>87</v>
      </c>
      <c r="B509" s="3" t="s">
        <v>212</v>
      </c>
      <c r="C509" s="3" t="s">
        <v>124</v>
      </c>
      <c r="D509" s="3" t="s">
        <v>90</v>
      </c>
      <c r="E509" s="3" t="s">
        <v>91</v>
      </c>
      <c r="F509" s="3" t="s">
        <v>1211</v>
      </c>
      <c r="G509" s="3" t="s">
        <v>1212</v>
      </c>
      <c r="H509" s="4">
        <v>34764</v>
      </c>
      <c r="I509" s="6" t="s">
        <v>2280</v>
      </c>
      <c r="J509" s="6" t="s">
        <v>2464</v>
      </c>
      <c r="K509" s="6" t="s">
        <v>3055</v>
      </c>
      <c r="L509" s="6" t="s">
        <v>3230</v>
      </c>
      <c r="M509" s="9" t="s">
        <v>3780</v>
      </c>
      <c r="N509" s="5" t="str">
        <f t="shared" ref="N509" si="497">TEXT(H509,"DD-MMM-YYY")</f>
        <v>06-Mar-1995</v>
      </c>
      <c r="O509" s="6" t="s">
        <v>3878</v>
      </c>
    </row>
    <row r="510" spans="1:15" x14ac:dyDescent="0.35">
      <c r="A510" s="3" t="s">
        <v>101</v>
      </c>
      <c r="B510" s="3" t="s">
        <v>216</v>
      </c>
      <c r="C510" s="3" t="s">
        <v>131</v>
      </c>
      <c r="D510" s="3" t="s">
        <v>104</v>
      </c>
      <c r="E510" s="3" t="s">
        <v>105</v>
      </c>
      <c r="F510" s="3" t="s">
        <v>1213</v>
      </c>
      <c r="G510" s="3" t="s">
        <v>1214</v>
      </c>
      <c r="H510" s="4">
        <v>35196</v>
      </c>
      <c r="I510" s="6" t="s">
        <v>2281</v>
      </c>
      <c r="J510" s="6" t="s">
        <v>2465</v>
      </c>
      <c r="K510" s="6" t="s">
        <v>3056</v>
      </c>
      <c r="L510" s="6" t="s">
        <v>3212</v>
      </c>
      <c r="M510" s="9" t="s">
        <v>3781</v>
      </c>
      <c r="N510" s="5" t="str">
        <f t="shared" ref="N510" si="498">TEXT(H510, "DD-MMM-YYY")</f>
        <v>11-May-1996</v>
      </c>
      <c r="O510" s="6" t="s">
        <v>3879</v>
      </c>
    </row>
    <row r="511" spans="1:15" x14ac:dyDescent="0.35">
      <c r="A511" s="3" t="s">
        <v>108</v>
      </c>
      <c r="B511" s="3" t="s">
        <v>220</v>
      </c>
      <c r="C511" s="3" t="s">
        <v>137</v>
      </c>
      <c r="D511" s="3" t="s">
        <v>111</v>
      </c>
      <c r="E511" s="3" t="s">
        <v>112</v>
      </c>
      <c r="F511" s="3" t="s">
        <v>1215</v>
      </c>
      <c r="G511" s="3" t="s">
        <v>1216</v>
      </c>
      <c r="H511" s="4">
        <v>35627</v>
      </c>
      <c r="I511" s="6" t="s">
        <v>2282</v>
      </c>
      <c r="J511" s="6" t="s">
        <v>2466</v>
      </c>
      <c r="K511" s="6" t="s">
        <v>3057</v>
      </c>
      <c r="L511" s="6" t="s">
        <v>3167</v>
      </c>
      <c r="M511" s="9" t="s">
        <v>3782</v>
      </c>
      <c r="N511" s="5" t="str">
        <f t="shared" ref="N511" si="499">TEXT(H511,"DD-MMM-YYY")</f>
        <v>16-Jul-1997</v>
      </c>
      <c r="O511" s="6" t="s">
        <v>3880</v>
      </c>
    </row>
    <row r="512" spans="1:15" x14ac:dyDescent="0.35">
      <c r="A512" s="3" t="s">
        <v>115</v>
      </c>
      <c r="B512" s="3" t="s">
        <v>224</v>
      </c>
      <c r="C512" s="3" t="s">
        <v>144</v>
      </c>
      <c r="D512" s="3" t="s">
        <v>118</v>
      </c>
      <c r="E512" s="3" t="s">
        <v>119</v>
      </c>
      <c r="F512" s="3" t="s">
        <v>1217</v>
      </c>
      <c r="G512" s="3" t="s">
        <v>1218</v>
      </c>
      <c r="H512" s="4">
        <v>36059</v>
      </c>
      <c r="I512" s="6" t="s">
        <v>2283</v>
      </c>
      <c r="J512" s="6" t="s">
        <v>2467</v>
      </c>
      <c r="K512" s="6" t="s">
        <v>3058</v>
      </c>
      <c r="L512" s="6" t="s">
        <v>3231</v>
      </c>
      <c r="M512" s="9" t="s">
        <v>3783</v>
      </c>
      <c r="N512" s="5" t="str">
        <f t="shared" ref="N512" si="500">TEXT(H512, "DD-MMM-YYY")</f>
        <v>21-Sept-1998</v>
      </c>
      <c r="O512" s="6" t="s">
        <v>3881</v>
      </c>
    </row>
    <row r="513" spans="1:15" x14ac:dyDescent="0.35">
      <c r="A513" s="3" t="s">
        <v>122</v>
      </c>
      <c r="B513" s="3" t="s">
        <v>228</v>
      </c>
      <c r="C513" s="3" t="s">
        <v>151</v>
      </c>
      <c r="D513" s="3" t="s">
        <v>125</v>
      </c>
      <c r="E513" s="3" t="s">
        <v>126</v>
      </c>
      <c r="F513" s="3" t="s">
        <v>1219</v>
      </c>
      <c r="G513" s="3" t="s">
        <v>1220</v>
      </c>
      <c r="H513" s="4">
        <v>36490</v>
      </c>
      <c r="I513" s="6" t="s">
        <v>2284</v>
      </c>
      <c r="J513" s="6" t="s">
        <v>2468</v>
      </c>
      <c r="K513" s="6" t="s">
        <v>3059</v>
      </c>
      <c r="L513" s="6" t="s">
        <v>3232</v>
      </c>
      <c r="M513" s="9" t="s">
        <v>3784</v>
      </c>
      <c r="N513" s="5" t="str">
        <f t="shared" ref="N513" si="501">TEXT(H513,"DD-MMM-YYY")</f>
        <v>26-Nov-1999</v>
      </c>
      <c r="O513" s="6" t="s">
        <v>3882</v>
      </c>
    </row>
    <row r="514" spans="1:15" x14ac:dyDescent="0.35">
      <c r="A514" s="3" t="s">
        <v>129</v>
      </c>
      <c r="B514" s="3" t="s">
        <v>232</v>
      </c>
      <c r="C514" s="3" t="s">
        <v>158</v>
      </c>
      <c r="D514" s="3" t="s">
        <v>132</v>
      </c>
      <c r="E514" s="3" t="s">
        <v>126</v>
      </c>
      <c r="F514" s="3" t="s">
        <v>1221</v>
      </c>
      <c r="G514" s="3" t="s">
        <v>1222</v>
      </c>
      <c r="H514" s="4">
        <v>31050</v>
      </c>
      <c r="I514" s="6" t="s">
        <v>2285</v>
      </c>
      <c r="J514" s="6" t="s">
        <v>2469</v>
      </c>
      <c r="K514" s="6" t="s">
        <v>3060</v>
      </c>
      <c r="L514" s="6" t="s">
        <v>3167</v>
      </c>
      <c r="M514" s="9" t="s">
        <v>3785</v>
      </c>
      <c r="N514" s="5" t="str">
        <f t="shared" ref="N514" si="502">TEXT(H514, "DD-MMM-YYY")</f>
        <v>03-Jan-1985</v>
      </c>
      <c r="O514" s="6" t="s">
        <v>3883</v>
      </c>
    </row>
    <row r="515" spans="1:15" x14ac:dyDescent="0.35">
      <c r="A515" s="3" t="s">
        <v>135</v>
      </c>
      <c r="B515" s="3" t="s">
        <v>236</v>
      </c>
      <c r="C515" s="3" t="s">
        <v>164</v>
      </c>
      <c r="D515" s="3" t="s">
        <v>138</v>
      </c>
      <c r="E515" s="3" t="s">
        <v>139</v>
      </c>
      <c r="F515" s="3" t="s">
        <v>1223</v>
      </c>
      <c r="G515" s="3" t="s">
        <v>1224</v>
      </c>
      <c r="H515" s="4">
        <v>31479</v>
      </c>
      <c r="I515" s="6" t="s">
        <v>2286</v>
      </c>
      <c r="J515" s="6" t="s">
        <v>1445</v>
      </c>
      <c r="K515" s="6" t="s">
        <v>3061</v>
      </c>
      <c r="L515" s="6" t="s">
        <v>3233</v>
      </c>
      <c r="M515" s="9" t="s">
        <v>3786</v>
      </c>
      <c r="N515" s="5" t="str">
        <f t="shared" ref="N515" si="503">TEXT(H515,"DD-MMM-YYY")</f>
        <v>08-Mar-1986</v>
      </c>
      <c r="O515" s="6" t="s">
        <v>3884</v>
      </c>
    </row>
    <row r="516" spans="1:15" x14ac:dyDescent="0.35">
      <c r="A516" s="3" t="s">
        <v>142</v>
      </c>
      <c r="B516" s="3" t="s">
        <v>240</v>
      </c>
      <c r="C516" s="3" t="s">
        <v>19</v>
      </c>
      <c r="D516" s="3" t="s">
        <v>145</v>
      </c>
      <c r="E516" s="3" t="s">
        <v>146</v>
      </c>
      <c r="F516" s="3" t="s">
        <v>1225</v>
      </c>
      <c r="G516" s="3" t="s">
        <v>1226</v>
      </c>
      <c r="H516" s="4">
        <v>31910</v>
      </c>
      <c r="I516" s="6" t="s">
        <v>2287</v>
      </c>
      <c r="J516" s="6" t="s">
        <v>2470</v>
      </c>
      <c r="K516" s="6" t="s">
        <v>3062</v>
      </c>
      <c r="L516" s="6" t="s">
        <v>3234</v>
      </c>
      <c r="M516" s="9" t="s">
        <v>3787</v>
      </c>
      <c r="N516" s="5" t="str">
        <f t="shared" ref="N516" si="504">TEXT(H516, "DD-MMM-YYY")</f>
        <v>13-May-1987</v>
      </c>
      <c r="O516" s="6" t="s">
        <v>30</v>
      </c>
    </row>
    <row r="517" spans="1:15" x14ac:dyDescent="0.35">
      <c r="A517" s="3" t="s">
        <v>149</v>
      </c>
      <c r="B517" s="3" t="s">
        <v>244</v>
      </c>
      <c r="C517" s="3" t="s">
        <v>33</v>
      </c>
      <c r="D517" s="3" t="s">
        <v>152</v>
      </c>
      <c r="E517" s="3" t="s">
        <v>153</v>
      </c>
      <c r="F517" s="3" t="s">
        <v>1227</v>
      </c>
      <c r="G517" s="3" t="s">
        <v>1228</v>
      </c>
      <c r="H517" s="4">
        <v>32342</v>
      </c>
      <c r="I517" s="6" t="s">
        <v>2288</v>
      </c>
      <c r="J517" s="6" t="s">
        <v>2471</v>
      </c>
      <c r="K517" s="6" t="s">
        <v>3063</v>
      </c>
      <c r="L517" s="6" t="s">
        <v>3235</v>
      </c>
      <c r="M517" s="9" t="s">
        <v>3788</v>
      </c>
      <c r="N517" s="5" t="str">
        <f t="shared" ref="N517" si="505">TEXT(H517,"DD-MMM-YYY")</f>
        <v>18-Jul-1988</v>
      </c>
      <c r="O517" s="6" t="s">
        <v>44</v>
      </c>
    </row>
    <row r="518" spans="1:15" x14ac:dyDescent="0.35">
      <c r="A518" s="3" t="s">
        <v>156</v>
      </c>
      <c r="B518" s="3" t="s">
        <v>248</v>
      </c>
      <c r="C518" s="3" t="s">
        <v>47</v>
      </c>
      <c r="D518" s="3" t="s">
        <v>159</v>
      </c>
      <c r="E518" s="3" t="s">
        <v>77</v>
      </c>
      <c r="F518" s="3" t="s">
        <v>1229</v>
      </c>
      <c r="G518" s="3" t="s">
        <v>1230</v>
      </c>
      <c r="H518" s="4">
        <v>32774</v>
      </c>
      <c r="I518" s="6" t="s">
        <v>2289</v>
      </c>
      <c r="J518" s="6" t="s">
        <v>2472</v>
      </c>
      <c r="K518" s="6" t="s">
        <v>3064</v>
      </c>
      <c r="L518" s="6" t="s">
        <v>3236</v>
      </c>
      <c r="M518" s="9" t="s">
        <v>3789</v>
      </c>
      <c r="N518" s="5" t="str">
        <f t="shared" ref="N518" si="506">TEXT(H518, "DD-MMM-YYY")</f>
        <v>23-Sept-1989</v>
      </c>
      <c r="O518" s="6" t="s">
        <v>58</v>
      </c>
    </row>
    <row r="519" spans="1:15" x14ac:dyDescent="0.35">
      <c r="A519" s="3" t="s">
        <v>162</v>
      </c>
      <c r="B519" s="3" t="s">
        <v>252</v>
      </c>
      <c r="C519" s="3" t="s">
        <v>61</v>
      </c>
      <c r="D519" s="3" t="s">
        <v>165</v>
      </c>
      <c r="E519" s="3" t="s">
        <v>166</v>
      </c>
      <c r="F519" s="3" t="s">
        <v>1231</v>
      </c>
      <c r="G519" s="3" t="s">
        <v>1232</v>
      </c>
      <c r="H519" s="4">
        <v>33205</v>
      </c>
      <c r="I519" s="6" t="s">
        <v>2290</v>
      </c>
      <c r="J519" s="6" t="s">
        <v>2473</v>
      </c>
      <c r="K519" s="6" t="s">
        <v>3065</v>
      </c>
      <c r="L519" s="6" t="s">
        <v>3237</v>
      </c>
      <c r="M519" s="9" t="s">
        <v>3790</v>
      </c>
      <c r="N519" s="5" t="str">
        <f t="shared" ref="N519" si="507">TEXT(H519,"DD-MMM-YYY")</f>
        <v>28-Nov-1990</v>
      </c>
      <c r="O519" s="6" t="s">
        <v>72</v>
      </c>
    </row>
    <row r="520" spans="1:15" x14ac:dyDescent="0.35">
      <c r="A520" s="3" t="s">
        <v>169</v>
      </c>
      <c r="B520" s="3" t="s">
        <v>256</v>
      </c>
      <c r="C520" s="3" t="s">
        <v>75</v>
      </c>
      <c r="D520" s="3" t="s">
        <v>171</v>
      </c>
      <c r="E520" s="3" t="s">
        <v>172</v>
      </c>
      <c r="F520" s="3" t="s">
        <v>1233</v>
      </c>
      <c r="G520" s="3" t="s">
        <v>1234</v>
      </c>
      <c r="H520" s="4">
        <v>33243</v>
      </c>
      <c r="I520" s="6" t="s">
        <v>2291</v>
      </c>
      <c r="J520" s="6" t="s">
        <v>2474</v>
      </c>
      <c r="K520" s="6" t="s">
        <v>3066</v>
      </c>
      <c r="L520" s="6" t="s">
        <v>3238</v>
      </c>
      <c r="M520" s="9" t="s">
        <v>3791</v>
      </c>
      <c r="N520" s="5" t="str">
        <f t="shared" ref="N520" si="508">TEXT(H520, "DD-MMM-YYY")</f>
        <v>05-Jan-1991</v>
      </c>
      <c r="O520" s="6" t="s">
        <v>86</v>
      </c>
    </row>
    <row r="521" spans="1:15" x14ac:dyDescent="0.35">
      <c r="A521" s="3" t="s">
        <v>175</v>
      </c>
      <c r="B521" s="3" t="s">
        <v>260</v>
      </c>
      <c r="C521" s="3" t="s">
        <v>89</v>
      </c>
      <c r="D521" s="3" t="s">
        <v>162</v>
      </c>
      <c r="E521" s="3" t="s">
        <v>63</v>
      </c>
      <c r="F521" s="3" t="s">
        <v>1235</v>
      </c>
      <c r="G521" s="3" t="s">
        <v>1236</v>
      </c>
      <c r="H521" s="4">
        <v>33673</v>
      </c>
      <c r="I521" s="6" t="s">
        <v>2292</v>
      </c>
      <c r="J521" s="6" t="s">
        <v>2475</v>
      </c>
      <c r="K521" s="6" t="s">
        <v>3067</v>
      </c>
      <c r="L521" s="6" t="s">
        <v>3239</v>
      </c>
      <c r="M521" s="9" t="s">
        <v>3792</v>
      </c>
      <c r="N521" s="5" t="str">
        <f t="shared" ref="N521" si="509">TEXT(H521,"DD-MMM-YYY")</f>
        <v>10-Mar-1992</v>
      </c>
      <c r="O521" s="6" t="s">
        <v>100</v>
      </c>
    </row>
    <row r="522" spans="1:15" x14ac:dyDescent="0.35">
      <c r="A522" s="3" t="s">
        <v>179</v>
      </c>
      <c r="B522" s="3" t="s">
        <v>264</v>
      </c>
      <c r="C522" s="3" t="s">
        <v>103</v>
      </c>
      <c r="D522" s="3" t="s">
        <v>181</v>
      </c>
      <c r="E522" s="3" t="s">
        <v>182</v>
      </c>
      <c r="F522" s="3" t="s">
        <v>1237</v>
      </c>
      <c r="G522" s="3" t="s">
        <v>1238</v>
      </c>
      <c r="H522" s="4">
        <v>34104</v>
      </c>
      <c r="I522" s="6" t="s">
        <v>2293</v>
      </c>
      <c r="J522" s="6" t="s">
        <v>2476</v>
      </c>
      <c r="K522" s="6" t="s">
        <v>3068</v>
      </c>
      <c r="L522" s="6" t="s">
        <v>3240</v>
      </c>
      <c r="M522" s="9" t="s">
        <v>3793</v>
      </c>
      <c r="N522" s="5" t="str">
        <f t="shared" ref="N522" si="510">TEXT(H522, "DD-MMM-YYY")</f>
        <v>15-May-1993</v>
      </c>
      <c r="O522" s="6" t="s">
        <v>3875</v>
      </c>
    </row>
    <row r="523" spans="1:15" x14ac:dyDescent="0.35">
      <c r="A523" s="3" t="s">
        <v>185</v>
      </c>
      <c r="B523" s="3" t="s">
        <v>268</v>
      </c>
      <c r="C523" s="3" t="s">
        <v>110</v>
      </c>
      <c r="D523" s="3" t="s">
        <v>187</v>
      </c>
      <c r="E523" s="3" t="s">
        <v>188</v>
      </c>
      <c r="F523" s="3" t="s">
        <v>1239</v>
      </c>
      <c r="G523" s="3" t="s">
        <v>1240</v>
      </c>
      <c r="H523" s="4">
        <v>34535</v>
      </c>
      <c r="I523" s="6" t="s">
        <v>2294</v>
      </c>
      <c r="J523" s="6" t="s">
        <v>2477</v>
      </c>
      <c r="K523" s="6" t="s">
        <v>3069</v>
      </c>
      <c r="L523" s="6" t="s">
        <v>3186</v>
      </c>
      <c r="M523" s="9" t="s">
        <v>3794</v>
      </c>
      <c r="N523" s="5" t="str">
        <f t="shared" ref="N523" si="511">TEXT(H523,"DD-MMM-YYY")</f>
        <v>20-Jul-1994</v>
      </c>
      <c r="O523" s="6" t="s">
        <v>3876</v>
      </c>
    </row>
    <row r="524" spans="1:15" x14ac:dyDescent="0.35">
      <c r="A524" s="3" t="s">
        <v>191</v>
      </c>
      <c r="B524" s="3" t="s">
        <v>18</v>
      </c>
      <c r="C524" s="3" t="s">
        <v>117</v>
      </c>
      <c r="D524" s="3" t="s">
        <v>20</v>
      </c>
      <c r="E524" s="3" t="s">
        <v>21</v>
      </c>
      <c r="F524" s="3" t="s">
        <v>1241</v>
      </c>
      <c r="G524" s="3" t="s">
        <v>1242</v>
      </c>
      <c r="H524" s="4">
        <v>34967</v>
      </c>
      <c r="I524" s="6" t="s">
        <v>2295</v>
      </c>
      <c r="J524" s="6" t="s">
        <v>2478</v>
      </c>
      <c r="K524" s="6" t="s">
        <v>3070</v>
      </c>
      <c r="L524" s="6" t="s">
        <v>27</v>
      </c>
      <c r="M524" s="9" t="s">
        <v>3795</v>
      </c>
      <c r="N524" s="5" t="str">
        <f t="shared" ref="N524" si="512">TEXT(H524, "DD-MMM-YYY")</f>
        <v>25-Sept-1995</v>
      </c>
      <c r="O524" s="6" t="s">
        <v>3877</v>
      </c>
    </row>
    <row r="525" spans="1:15" x14ac:dyDescent="0.35">
      <c r="A525" s="3" t="s">
        <v>195</v>
      </c>
      <c r="B525" s="3" t="s">
        <v>32</v>
      </c>
      <c r="C525" s="3" t="s">
        <v>124</v>
      </c>
      <c r="D525" s="3" t="s">
        <v>34</v>
      </c>
      <c r="E525" s="3" t="s">
        <v>35</v>
      </c>
      <c r="F525" s="3" t="s">
        <v>1243</v>
      </c>
      <c r="G525" s="3" t="s">
        <v>1244</v>
      </c>
      <c r="H525" s="4">
        <v>35371</v>
      </c>
      <c r="I525" s="6" t="s">
        <v>2296</v>
      </c>
      <c r="J525" s="6" t="s">
        <v>1643</v>
      </c>
      <c r="K525" s="6" t="s">
        <v>3071</v>
      </c>
      <c r="L525" s="6" t="s">
        <v>3212</v>
      </c>
      <c r="M525" s="9" t="s">
        <v>3796</v>
      </c>
      <c r="N525" s="5" t="str">
        <f t="shared" ref="N525" si="513">TEXT(H525,"DD-MMM-YYY")</f>
        <v>02-Nov-1996</v>
      </c>
      <c r="O525" s="6" t="s">
        <v>3878</v>
      </c>
    </row>
    <row r="526" spans="1:15" x14ac:dyDescent="0.35">
      <c r="A526" s="3" t="s">
        <v>199</v>
      </c>
      <c r="B526" s="3" t="s">
        <v>46</v>
      </c>
      <c r="C526" s="3" t="s">
        <v>131</v>
      </c>
      <c r="D526" s="3" t="s">
        <v>48</v>
      </c>
      <c r="E526" s="3" t="s">
        <v>49</v>
      </c>
      <c r="F526" s="3" t="s">
        <v>1245</v>
      </c>
      <c r="G526" s="3" t="s">
        <v>1246</v>
      </c>
      <c r="H526" s="4">
        <v>35437</v>
      </c>
      <c r="I526" s="6" t="s">
        <v>2297</v>
      </c>
      <c r="J526" s="6" t="s">
        <v>2479</v>
      </c>
      <c r="K526" s="6" t="s">
        <v>3072</v>
      </c>
      <c r="L526" s="6" t="s">
        <v>3239</v>
      </c>
      <c r="M526" s="9" t="s">
        <v>3797</v>
      </c>
      <c r="N526" s="5" t="str">
        <f t="shared" ref="N526" si="514">TEXT(H526, "DD-MMM-YYY")</f>
        <v>07-Jan-1997</v>
      </c>
      <c r="O526" s="6" t="s">
        <v>3879</v>
      </c>
    </row>
    <row r="527" spans="1:15" x14ac:dyDescent="0.35">
      <c r="A527" s="3" t="s">
        <v>203</v>
      </c>
      <c r="B527" s="3" t="s">
        <v>60</v>
      </c>
      <c r="C527" s="3" t="s">
        <v>137</v>
      </c>
      <c r="D527" s="3" t="s">
        <v>62</v>
      </c>
      <c r="E527" s="3" t="s">
        <v>63</v>
      </c>
      <c r="F527" s="3" t="s">
        <v>1247</v>
      </c>
      <c r="G527" s="3" t="s">
        <v>1248</v>
      </c>
      <c r="H527" s="4">
        <v>35866</v>
      </c>
      <c r="I527" s="6" t="s">
        <v>2298</v>
      </c>
      <c r="J527" s="6" t="s">
        <v>2480</v>
      </c>
      <c r="K527" s="6" t="s">
        <v>3073</v>
      </c>
      <c r="L527" s="6" t="s">
        <v>3241</v>
      </c>
      <c r="M527" s="9" t="s">
        <v>3798</v>
      </c>
      <c r="N527" s="5" t="str">
        <f t="shared" ref="N527" si="515">TEXT(H527,"DD-MMM-YYY")</f>
        <v>12-Mar-1998</v>
      </c>
      <c r="O527" s="6" t="s">
        <v>3880</v>
      </c>
    </row>
    <row r="528" spans="1:15" x14ac:dyDescent="0.35">
      <c r="A528" s="3" t="s">
        <v>207</v>
      </c>
      <c r="B528" s="3" t="s">
        <v>74</v>
      </c>
      <c r="C528" s="3" t="s">
        <v>144</v>
      </c>
      <c r="D528" s="3" t="s">
        <v>76</v>
      </c>
      <c r="E528" s="3" t="s">
        <v>77</v>
      </c>
      <c r="F528" s="3" t="s">
        <v>1249</v>
      </c>
      <c r="G528" s="3" t="s">
        <v>1250</v>
      </c>
      <c r="H528" s="4">
        <v>36297</v>
      </c>
      <c r="I528" s="6" t="s">
        <v>2299</v>
      </c>
      <c r="J528" s="6" t="s">
        <v>2481</v>
      </c>
      <c r="K528" s="6" t="s">
        <v>3074</v>
      </c>
      <c r="L528" s="6" t="s">
        <v>3242</v>
      </c>
      <c r="M528" s="9" t="s">
        <v>3799</v>
      </c>
      <c r="N528" s="5" t="str">
        <f t="shared" ref="N528" si="516">TEXT(H528, "DD-MMM-YYY")</f>
        <v>17-May-1999</v>
      </c>
      <c r="O528" s="6" t="s">
        <v>3881</v>
      </c>
    </row>
    <row r="529" spans="1:15" x14ac:dyDescent="0.35">
      <c r="A529" s="3" t="s">
        <v>211</v>
      </c>
      <c r="B529" s="3" t="s">
        <v>88</v>
      </c>
      <c r="C529" s="3" t="s">
        <v>151</v>
      </c>
      <c r="D529" s="3" t="s">
        <v>90</v>
      </c>
      <c r="E529" s="3" t="s">
        <v>91</v>
      </c>
      <c r="F529" s="3" t="s">
        <v>1251</v>
      </c>
      <c r="G529" s="3" t="s">
        <v>1252</v>
      </c>
      <c r="H529" s="4">
        <v>31250</v>
      </c>
      <c r="I529" s="6" t="s">
        <v>2300</v>
      </c>
      <c r="J529" s="6" t="s">
        <v>2482</v>
      </c>
      <c r="K529" s="6" t="s">
        <v>3075</v>
      </c>
      <c r="L529" s="6" t="s">
        <v>3243</v>
      </c>
      <c r="M529" s="9" t="s">
        <v>3800</v>
      </c>
      <c r="N529" s="5" t="str">
        <f t="shared" ref="N529" si="517">TEXT(H529,"DD-MMM-YYY")</f>
        <v>22-Jul-1985</v>
      </c>
      <c r="O529" s="6" t="s">
        <v>3882</v>
      </c>
    </row>
    <row r="530" spans="1:15" x14ac:dyDescent="0.35">
      <c r="A530" s="3" t="s">
        <v>215</v>
      </c>
      <c r="B530" s="3" t="s">
        <v>102</v>
      </c>
      <c r="C530" s="3" t="s">
        <v>158</v>
      </c>
      <c r="D530" s="3" t="s">
        <v>104</v>
      </c>
      <c r="E530" s="3" t="s">
        <v>105</v>
      </c>
      <c r="F530" s="3" t="s">
        <v>1253</v>
      </c>
      <c r="G530" s="3" t="s">
        <v>1254</v>
      </c>
      <c r="H530" s="4">
        <v>31682</v>
      </c>
      <c r="I530" s="6" t="s">
        <v>2301</v>
      </c>
      <c r="J530" s="6" t="s">
        <v>2483</v>
      </c>
      <c r="K530" s="6" t="s">
        <v>3076</v>
      </c>
      <c r="L530" s="6" t="s">
        <v>3153</v>
      </c>
      <c r="M530" s="9" t="s">
        <v>3801</v>
      </c>
      <c r="N530" s="5" t="str">
        <f t="shared" ref="N530" si="518">TEXT(H530, "DD-MMM-YYY")</f>
        <v>27-Sept-1986</v>
      </c>
      <c r="O530" s="6" t="s">
        <v>3883</v>
      </c>
    </row>
    <row r="531" spans="1:15" x14ac:dyDescent="0.35">
      <c r="A531" s="3" t="s">
        <v>219</v>
      </c>
      <c r="B531" s="3" t="s">
        <v>109</v>
      </c>
      <c r="C531" s="3" t="s">
        <v>164</v>
      </c>
      <c r="D531" s="3" t="s">
        <v>111</v>
      </c>
      <c r="E531" s="3" t="s">
        <v>112</v>
      </c>
      <c r="F531" s="3" t="s">
        <v>1255</v>
      </c>
      <c r="G531" s="3" t="s">
        <v>1256</v>
      </c>
      <c r="H531" s="4">
        <v>32085</v>
      </c>
      <c r="I531" s="6" t="s">
        <v>2302</v>
      </c>
      <c r="J531" s="6" t="s">
        <v>2484</v>
      </c>
      <c r="K531" s="6" t="s">
        <v>3077</v>
      </c>
      <c r="L531" s="6" t="s">
        <v>3151</v>
      </c>
      <c r="M531" s="9" t="s">
        <v>3802</v>
      </c>
      <c r="N531" s="5" t="str">
        <f t="shared" ref="N531" si="519">TEXT(H531,"DD-MMM-YYY")</f>
        <v>04-Nov-1987</v>
      </c>
      <c r="O531" s="6" t="s">
        <v>3884</v>
      </c>
    </row>
    <row r="532" spans="1:15" x14ac:dyDescent="0.35">
      <c r="A532" s="3" t="s">
        <v>223</v>
      </c>
      <c r="B532" s="3" t="s">
        <v>116</v>
      </c>
      <c r="C532" s="3" t="s">
        <v>19</v>
      </c>
      <c r="D532" s="3" t="s">
        <v>118</v>
      </c>
      <c r="E532" s="3" t="s">
        <v>119</v>
      </c>
      <c r="F532" s="3" t="s">
        <v>1257</v>
      </c>
      <c r="G532" s="3" t="s">
        <v>1258</v>
      </c>
      <c r="H532" s="4">
        <v>32151</v>
      </c>
      <c r="I532" s="6" t="s">
        <v>2303</v>
      </c>
      <c r="J532" s="6" t="s">
        <v>2485</v>
      </c>
      <c r="K532" s="6" t="s">
        <v>3078</v>
      </c>
      <c r="L532" s="6" t="s">
        <v>3228</v>
      </c>
      <c r="M532" s="9" t="s">
        <v>3803</v>
      </c>
      <c r="N532" s="5" t="str">
        <f t="shared" ref="N532" si="520">TEXT(H532, "DD-MMM-YYY")</f>
        <v>09-Jan-1988</v>
      </c>
      <c r="O532" s="6" t="s">
        <v>30</v>
      </c>
    </row>
    <row r="533" spans="1:15" x14ac:dyDescent="0.35">
      <c r="A533" s="3" t="s">
        <v>227</v>
      </c>
      <c r="B533" s="3" t="s">
        <v>123</v>
      </c>
      <c r="C533" s="3" t="s">
        <v>33</v>
      </c>
      <c r="D533" s="3" t="s">
        <v>125</v>
      </c>
      <c r="E533" s="3" t="s">
        <v>126</v>
      </c>
      <c r="F533" s="3" t="s">
        <v>1259</v>
      </c>
      <c r="G533" s="3" t="s">
        <v>1260</v>
      </c>
      <c r="H533" s="4">
        <v>32581</v>
      </c>
      <c r="I533" s="6" t="s">
        <v>2304</v>
      </c>
      <c r="J533" s="6" t="s">
        <v>2486</v>
      </c>
      <c r="K533" s="6" t="s">
        <v>3079</v>
      </c>
      <c r="L533" s="6" t="s">
        <v>3211</v>
      </c>
      <c r="M533" s="9" t="s">
        <v>3804</v>
      </c>
      <c r="N533" s="5" t="str">
        <f t="shared" ref="N533" si="521">TEXT(H533,"DD-MMM-YYY")</f>
        <v>14-Mar-1989</v>
      </c>
      <c r="O533" s="6" t="s">
        <v>44</v>
      </c>
    </row>
    <row r="534" spans="1:15" x14ac:dyDescent="0.35">
      <c r="A534" s="3" t="s">
        <v>231</v>
      </c>
      <c r="B534" s="3" t="s">
        <v>130</v>
      </c>
      <c r="C534" s="3" t="s">
        <v>47</v>
      </c>
      <c r="D534" s="3" t="s">
        <v>132</v>
      </c>
      <c r="E534" s="3" t="s">
        <v>126</v>
      </c>
      <c r="F534" s="3" t="s">
        <v>1261</v>
      </c>
      <c r="G534" s="3" t="s">
        <v>1262</v>
      </c>
      <c r="H534" s="4">
        <v>33012</v>
      </c>
      <c r="I534" s="6" t="s">
        <v>2305</v>
      </c>
      <c r="J534" s="6" t="s">
        <v>2487</v>
      </c>
      <c r="K534" s="6" t="s">
        <v>3080</v>
      </c>
      <c r="L534" s="6" t="s">
        <v>3190</v>
      </c>
      <c r="M534" s="9" t="s">
        <v>3805</v>
      </c>
      <c r="N534" s="5" t="str">
        <f t="shared" ref="N534" si="522">TEXT(H534, "DD-MMM-YYY")</f>
        <v>19-May-1990</v>
      </c>
      <c r="O534" s="6" t="s">
        <v>58</v>
      </c>
    </row>
    <row r="535" spans="1:15" x14ac:dyDescent="0.35">
      <c r="A535" s="3" t="s">
        <v>235</v>
      </c>
      <c r="B535" s="3" t="s">
        <v>136</v>
      </c>
      <c r="C535" s="3" t="s">
        <v>61</v>
      </c>
      <c r="D535" s="3" t="s">
        <v>138</v>
      </c>
      <c r="E535" s="3" t="s">
        <v>139</v>
      </c>
      <c r="F535" s="3" t="s">
        <v>1263</v>
      </c>
      <c r="G535" s="3" t="s">
        <v>1264</v>
      </c>
      <c r="H535" s="4">
        <v>33443</v>
      </c>
      <c r="I535" s="6" t="s">
        <v>2306</v>
      </c>
      <c r="J535" s="6" t="s">
        <v>1573</v>
      </c>
      <c r="K535" s="6" t="s">
        <v>3081</v>
      </c>
      <c r="L535" s="6" t="s">
        <v>3243</v>
      </c>
      <c r="M535" s="9" t="s">
        <v>3806</v>
      </c>
      <c r="N535" s="5" t="str">
        <f t="shared" ref="N535" si="523">TEXT(H535,"DD-MMM-YYY")</f>
        <v>24-Jul-1991</v>
      </c>
      <c r="O535" s="6" t="s">
        <v>72</v>
      </c>
    </row>
    <row r="536" spans="1:15" x14ac:dyDescent="0.35">
      <c r="A536" s="3" t="s">
        <v>239</v>
      </c>
      <c r="B536" s="3" t="s">
        <v>143</v>
      </c>
      <c r="C536" s="3" t="s">
        <v>75</v>
      </c>
      <c r="D536" s="3" t="s">
        <v>145</v>
      </c>
      <c r="E536" s="3" t="s">
        <v>146</v>
      </c>
      <c r="F536" s="3" t="s">
        <v>1265</v>
      </c>
      <c r="G536" s="3" t="s">
        <v>1266</v>
      </c>
      <c r="H536" s="4">
        <v>33848</v>
      </c>
      <c r="I536" s="6" t="s">
        <v>2307</v>
      </c>
      <c r="J536" s="6" t="s">
        <v>2488</v>
      </c>
      <c r="K536" s="6" t="s">
        <v>3082</v>
      </c>
      <c r="L536" s="6" t="s">
        <v>3244</v>
      </c>
      <c r="M536" s="9" t="s">
        <v>3807</v>
      </c>
      <c r="N536" s="5" t="str">
        <f t="shared" ref="N536" si="524">TEXT(H536, "DD-MMM-YYY")</f>
        <v>01-Sept-1992</v>
      </c>
      <c r="O536" s="6" t="s">
        <v>86</v>
      </c>
    </row>
    <row r="537" spans="1:15" x14ac:dyDescent="0.35">
      <c r="A537" s="3" t="s">
        <v>243</v>
      </c>
      <c r="B537" s="3" t="s">
        <v>150</v>
      </c>
      <c r="C537" s="3" t="s">
        <v>89</v>
      </c>
      <c r="D537" s="3" t="s">
        <v>152</v>
      </c>
      <c r="E537" s="3" t="s">
        <v>153</v>
      </c>
      <c r="F537" s="3" t="s">
        <v>1267</v>
      </c>
      <c r="G537" s="3" t="s">
        <v>1268</v>
      </c>
      <c r="H537" s="4">
        <v>34279</v>
      </c>
      <c r="I537" s="6" t="s">
        <v>2308</v>
      </c>
      <c r="J537" s="6" t="s">
        <v>2489</v>
      </c>
      <c r="K537" s="6" t="s">
        <v>3083</v>
      </c>
      <c r="L537" s="6" t="s">
        <v>3245</v>
      </c>
      <c r="M537" s="9" t="s">
        <v>3808</v>
      </c>
      <c r="N537" s="5" t="str">
        <f t="shared" ref="N537" si="525">TEXT(H537,"DD-MMM-YYY")</f>
        <v>06-Nov-1993</v>
      </c>
      <c r="O537" s="6" t="s">
        <v>100</v>
      </c>
    </row>
    <row r="538" spans="1:15" x14ac:dyDescent="0.35">
      <c r="A538" s="3" t="s">
        <v>247</v>
      </c>
      <c r="B538" s="3" t="s">
        <v>157</v>
      </c>
      <c r="C538" s="3" t="s">
        <v>103</v>
      </c>
      <c r="D538" s="3" t="s">
        <v>159</v>
      </c>
      <c r="E538" s="3" t="s">
        <v>77</v>
      </c>
      <c r="F538" s="3" t="s">
        <v>1269</v>
      </c>
      <c r="G538" s="3" t="s">
        <v>1270</v>
      </c>
      <c r="H538" s="4">
        <v>34345</v>
      </c>
      <c r="I538" s="6" t="s">
        <v>2309</v>
      </c>
      <c r="J538" s="6" t="s">
        <v>2490</v>
      </c>
      <c r="K538" s="6" t="s">
        <v>3084</v>
      </c>
      <c r="L538" s="6" t="s">
        <v>3246</v>
      </c>
      <c r="M538" s="9" t="s">
        <v>3809</v>
      </c>
      <c r="N538" s="5" t="str">
        <f t="shared" ref="N538" si="526">TEXT(H538, "DD-MMM-YYY")</f>
        <v>11-Jan-1994</v>
      </c>
      <c r="O538" s="6" t="s">
        <v>3875</v>
      </c>
    </row>
    <row r="539" spans="1:15" x14ac:dyDescent="0.35">
      <c r="A539" s="3" t="s">
        <v>251</v>
      </c>
      <c r="B539" s="3" t="s">
        <v>163</v>
      </c>
      <c r="C539" s="3" t="s">
        <v>110</v>
      </c>
      <c r="D539" s="3" t="s">
        <v>165</v>
      </c>
      <c r="E539" s="3" t="s">
        <v>166</v>
      </c>
      <c r="F539" s="3" t="s">
        <v>1271</v>
      </c>
      <c r="G539" s="3" t="s">
        <v>1272</v>
      </c>
      <c r="H539" s="4">
        <v>34774</v>
      </c>
      <c r="I539" s="6" t="s">
        <v>2310</v>
      </c>
      <c r="J539" s="6" t="s">
        <v>2491</v>
      </c>
      <c r="K539" s="6" t="s">
        <v>3085</v>
      </c>
      <c r="L539" s="6" t="s">
        <v>3193</v>
      </c>
      <c r="M539" s="9" t="s">
        <v>3810</v>
      </c>
      <c r="N539" s="5" t="str">
        <f t="shared" ref="N539" si="527">TEXT(H539,"DD-MMM-YYY")</f>
        <v>16-Mar-1995</v>
      </c>
      <c r="O539" s="6" t="s">
        <v>3876</v>
      </c>
    </row>
    <row r="540" spans="1:15" x14ac:dyDescent="0.35">
      <c r="A540" s="3" t="s">
        <v>255</v>
      </c>
      <c r="B540" s="3" t="s">
        <v>170</v>
      </c>
      <c r="C540" s="3" t="s">
        <v>117</v>
      </c>
      <c r="D540" s="3" t="s">
        <v>171</v>
      </c>
      <c r="E540" s="3" t="s">
        <v>172</v>
      </c>
      <c r="F540" s="3" t="s">
        <v>1273</v>
      </c>
      <c r="G540" s="3" t="s">
        <v>1274</v>
      </c>
      <c r="H540" s="4">
        <v>35206</v>
      </c>
      <c r="I540" s="6" t="s">
        <v>2311</v>
      </c>
      <c r="J540" s="6" t="s">
        <v>2492</v>
      </c>
      <c r="K540" s="6" t="s">
        <v>3086</v>
      </c>
      <c r="L540" s="6" t="s">
        <v>3247</v>
      </c>
      <c r="M540" s="9" t="s">
        <v>3811</v>
      </c>
      <c r="N540" s="5" t="str">
        <f t="shared" ref="N540" si="528">TEXT(H540, "DD-MMM-YYY")</f>
        <v>21-May-1996</v>
      </c>
      <c r="O540" s="6" t="s">
        <v>3877</v>
      </c>
    </row>
    <row r="541" spans="1:15" x14ac:dyDescent="0.35">
      <c r="A541" s="3" t="s">
        <v>259</v>
      </c>
      <c r="B541" s="3" t="s">
        <v>176</v>
      </c>
      <c r="C541" s="3" t="s">
        <v>124</v>
      </c>
      <c r="D541" s="3" t="s">
        <v>162</v>
      </c>
      <c r="E541" s="3" t="s">
        <v>63</v>
      </c>
      <c r="F541" s="3" t="s">
        <v>1275</v>
      </c>
      <c r="G541" s="3" t="s">
        <v>1276</v>
      </c>
      <c r="H541" s="4">
        <v>35637</v>
      </c>
      <c r="I541" s="6" t="s">
        <v>2312</v>
      </c>
      <c r="J541" s="6" t="s">
        <v>2493</v>
      </c>
      <c r="K541" s="6" t="s">
        <v>3087</v>
      </c>
      <c r="L541" s="6" t="s">
        <v>3248</v>
      </c>
      <c r="M541" s="9" t="s">
        <v>3812</v>
      </c>
      <c r="N541" s="5" t="str">
        <f t="shared" ref="N541" si="529">TEXT(H541,"DD-MMM-YYY")</f>
        <v>26-Jul-1997</v>
      </c>
      <c r="O541" s="6" t="s">
        <v>3878</v>
      </c>
    </row>
    <row r="542" spans="1:15" x14ac:dyDescent="0.35">
      <c r="A542" s="3" t="s">
        <v>263</v>
      </c>
      <c r="B542" s="3" t="s">
        <v>180</v>
      </c>
      <c r="C542" s="3" t="s">
        <v>131</v>
      </c>
      <c r="D542" s="3" t="s">
        <v>181</v>
      </c>
      <c r="E542" s="3" t="s">
        <v>182</v>
      </c>
      <c r="F542" s="3" t="s">
        <v>1277</v>
      </c>
      <c r="G542" s="3" t="s">
        <v>1278</v>
      </c>
      <c r="H542" s="4">
        <v>36041</v>
      </c>
      <c r="I542" s="6" t="s">
        <v>2313</v>
      </c>
      <c r="J542" s="6" t="s">
        <v>2494</v>
      </c>
      <c r="K542" s="6" t="s">
        <v>3088</v>
      </c>
      <c r="L542" s="6" t="s">
        <v>3249</v>
      </c>
      <c r="M542" s="9" t="s">
        <v>3813</v>
      </c>
      <c r="N542" s="5" t="str">
        <f t="shared" ref="N542" si="530">TEXT(H542, "DD-MMM-YYY")</f>
        <v>03-Sept-1998</v>
      </c>
      <c r="O542" s="6" t="s">
        <v>3879</v>
      </c>
    </row>
    <row r="543" spans="1:15" x14ac:dyDescent="0.35">
      <c r="A543" s="3" t="s">
        <v>267</v>
      </c>
      <c r="B543" s="3" t="s">
        <v>186</v>
      </c>
      <c r="C543" s="3" t="s">
        <v>137</v>
      </c>
      <c r="D543" s="3" t="s">
        <v>187</v>
      </c>
      <c r="E543" s="3" t="s">
        <v>188</v>
      </c>
      <c r="F543" s="3" t="s">
        <v>1279</v>
      </c>
      <c r="G543" s="3" t="s">
        <v>1280</v>
      </c>
      <c r="H543" s="4">
        <v>36472</v>
      </c>
      <c r="I543" s="6" t="s">
        <v>2314</v>
      </c>
      <c r="J543" s="6" t="s">
        <v>2495</v>
      </c>
      <c r="K543" s="6" t="s">
        <v>3089</v>
      </c>
      <c r="L543" s="6" t="s">
        <v>3250</v>
      </c>
      <c r="M543" s="9" t="s">
        <v>3814</v>
      </c>
      <c r="N543" s="5" t="str">
        <f t="shared" ref="N543" si="531">TEXT(H543,"DD-MMM-YYY")</f>
        <v>08-Nov-1999</v>
      </c>
      <c r="O543" s="6" t="s">
        <v>3880</v>
      </c>
    </row>
    <row r="544" spans="1:15" x14ac:dyDescent="0.35">
      <c r="A544" s="3" t="s">
        <v>271</v>
      </c>
      <c r="B544" s="3" t="s">
        <v>192</v>
      </c>
      <c r="C544" s="3" t="s">
        <v>144</v>
      </c>
      <c r="D544" s="3" t="s">
        <v>20</v>
      </c>
      <c r="E544" s="3" t="s">
        <v>21</v>
      </c>
      <c r="F544" s="3" t="s">
        <v>1281</v>
      </c>
      <c r="G544" s="3" t="s">
        <v>1282</v>
      </c>
      <c r="H544" s="4">
        <v>31060</v>
      </c>
      <c r="I544" s="6" t="s">
        <v>2315</v>
      </c>
      <c r="J544" s="6" t="s">
        <v>2496</v>
      </c>
      <c r="K544" s="6" t="s">
        <v>3090</v>
      </c>
      <c r="L544" s="6" t="s">
        <v>3232</v>
      </c>
      <c r="M544" s="9" t="s">
        <v>3815</v>
      </c>
      <c r="N544" s="5" t="str">
        <f t="shared" ref="N544" si="532">TEXT(H544, "DD-MMM-YYY")</f>
        <v>13-Jan-1985</v>
      </c>
      <c r="O544" s="6" t="s">
        <v>3881</v>
      </c>
    </row>
    <row r="545" spans="1:15" x14ac:dyDescent="0.35">
      <c r="A545" s="3" t="s">
        <v>274</v>
      </c>
      <c r="B545" s="3" t="s">
        <v>196</v>
      </c>
      <c r="C545" s="3" t="s">
        <v>151</v>
      </c>
      <c r="D545" s="3" t="s">
        <v>34</v>
      </c>
      <c r="E545" s="3" t="s">
        <v>35</v>
      </c>
      <c r="F545" s="3" t="s">
        <v>1283</v>
      </c>
      <c r="G545" s="3" t="s">
        <v>1284</v>
      </c>
      <c r="H545" s="4">
        <v>31489</v>
      </c>
      <c r="I545" s="6" t="s">
        <v>2316</v>
      </c>
      <c r="J545" s="6" t="s">
        <v>1702</v>
      </c>
      <c r="K545" s="6" t="s">
        <v>3091</v>
      </c>
      <c r="L545" s="6" t="s">
        <v>3251</v>
      </c>
      <c r="M545" s="9" t="s">
        <v>3816</v>
      </c>
      <c r="N545" s="5" t="str">
        <f t="shared" ref="N545" si="533">TEXT(H545,"DD-MMM-YYY")</f>
        <v>18-Mar-1986</v>
      </c>
      <c r="O545" s="6" t="s">
        <v>3882</v>
      </c>
    </row>
    <row r="546" spans="1:15" x14ac:dyDescent="0.35">
      <c r="A546" s="3" t="s">
        <v>277</v>
      </c>
      <c r="B546" s="3" t="s">
        <v>200</v>
      </c>
      <c r="C546" s="3" t="s">
        <v>158</v>
      </c>
      <c r="D546" s="3" t="s">
        <v>48</v>
      </c>
      <c r="E546" s="3" t="s">
        <v>49</v>
      </c>
      <c r="F546" s="3" t="s">
        <v>1285</v>
      </c>
      <c r="G546" s="3" t="s">
        <v>1286</v>
      </c>
      <c r="H546" s="4">
        <v>31920</v>
      </c>
      <c r="I546" s="6" t="s">
        <v>2317</v>
      </c>
      <c r="J546" s="6" t="s">
        <v>2497</v>
      </c>
      <c r="K546" s="6" t="s">
        <v>3092</v>
      </c>
      <c r="L546" s="6" t="s">
        <v>3252</v>
      </c>
      <c r="M546" s="9" t="s">
        <v>3817</v>
      </c>
      <c r="N546" s="5" t="str">
        <f t="shared" ref="N546" si="534">TEXT(H546, "DD-MMM-YYY")</f>
        <v>23-May-1987</v>
      </c>
      <c r="O546" s="6" t="s">
        <v>3883</v>
      </c>
    </row>
    <row r="547" spans="1:15" x14ac:dyDescent="0.35">
      <c r="A547" s="3" t="s">
        <v>280</v>
      </c>
      <c r="B547" s="3" t="s">
        <v>204</v>
      </c>
      <c r="C547" s="3" t="s">
        <v>164</v>
      </c>
      <c r="D547" s="3" t="s">
        <v>62</v>
      </c>
      <c r="E547" s="3" t="s">
        <v>63</v>
      </c>
      <c r="F547" s="3" t="s">
        <v>1287</v>
      </c>
      <c r="G547" s="3" t="s">
        <v>1288</v>
      </c>
      <c r="H547" s="4">
        <v>32352</v>
      </c>
      <c r="I547" s="6" t="s">
        <v>2318</v>
      </c>
      <c r="J547" s="6" t="s">
        <v>2498</v>
      </c>
      <c r="K547" s="6" t="s">
        <v>3093</v>
      </c>
      <c r="L547" s="6" t="s">
        <v>3253</v>
      </c>
      <c r="M547" s="9" t="s">
        <v>3818</v>
      </c>
      <c r="N547" s="5" t="str">
        <f t="shared" ref="N547" si="535">TEXT(H547,"DD-MMM-YYY")</f>
        <v>28-Jul-1988</v>
      </c>
      <c r="O547" s="6" t="s">
        <v>3884</v>
      </c>
    </row>
    <row r="548" spans="1:15" x14ac:dyDescent="0.35">
      <c r="A548" s="3" t="s">
        <v>283</v>
      </c>
      <c r="B548" s="3" t="s">
        <v>208</v>
      </c>
      <c r="C548" s="3" t="s">
        <v>19</v>
      </c>
      <c r="D548" s="3" t="s">
        <v>76</v>
      </c>
      <c r="E548" s="3" t="s">
        <v>77</v>
      </c>
      <c r="F548" s="3" t="s">
        <v>1289</v>
      </c>
      <c r="G548" s="3" t="s">
        <v>1290</v>
      </c>
      <c r="H548" s="4">
        <v>32756</v>
      </c>
      <c r="I548" s="6" t="s">
        <v>2319</v>
      </c>
      <c r="J548" s="6" t="s">
        <v>2499</v>
      </c>
      <c r="K548" s="6" t="s">
        <v>3094</v>
      </c>
      <c r="L548" s="6" t="s">
        <v>3254</v>
      </c>
      <c r="M548" s="9" t="s">
        <v>3819</v>
      </c>
      <c r="N548" s="5" t="str">
        <f t="shared" ref="N548" si="536">TEXT(H548, "DD-MMM-YYY")</f>
        <v>05-Sept-1989</v>
      </c>
      <c r="O548" s="6" t="s">
        <v>30</v>
      </c>
    </row>
    <row r="549" spans="1:15" x14ac:dyDescent="0.35">
      <c r="A549" s="3" t="s">
        <v>286</v>
      </c>
      <c r="B549" s="3" t="s">
        <v>212</v>
      </c>
      <c r="C549" s="3" t="s">
        <v>33</v>
      </c>
      <c r="D549" s="3" t="s">
        <v>90</v>
      </c>
      <c r="E549" s="3" t="s">
        <v>91</v>
      </c>
      <c r="F549" s="3" t="s">
        <v>1291</v>
      </c>
      <c r="G549" s="3" t="s">
        <v>1292</v>
      </c>
      <c r="H549" s="4">
        <v>33187</v>
      </c>
      <c r="I549" s="6" t="s">
        <v>2320</v>
      </c>
      <c r="J549" s="6" t="s">
        <v>2500</v>
      </c>
      <c r="K549" s="6" t="s">
        <v>3095</v>
      </c>
      <c r="L549" s="6" t="s">
        <v>3165</v>
      </c>
      <c r="M549" s="9" t="s">
        <v>3820</v>
      </c>
      <c r="N549" s="5" t="str">
        <f t="shared" ref="N549" si="537">TEXT(H549,"DD-MMM-YYY")</f>
        <v>10-Nov-1990</v>
      </c>
      <c r="O549" s="6" t="s">
        <v>44</v>
      </c>
    </row>
    <row r="550" spans="1:15" x14ac:dyDescent="0.35">
      <c r="A550" s="3" t="s">
        <v>289</v>
      </c>
      <c r="B550" s="3" t="s">
        <v>216</v>
      </c>
      <c r="C550" s="3" t="s">
        <v>47</v>
      </c>
      <c r="D550" s="3" t="s">
        <v>104</v>
      </c>
      <c r="E550" s="3" t="s">
        <v>105</v>
      </c>
      <c r="F550" s="3" t="s">
        <v>1293</v>
      </c>
      <c r="G550" s="3" t="s">
        <v>1294</v>
      </c>
      <c r="H550" s="4">
        <v>33253</v>
      </c>
      <c r="I550" s="6" t="s">
        <v>2321</v>
      </c>
      <c r="J550" s="6" t="s">
        <v>2501</v>
      </c>
      <c r="K550" s="6" t="s">
        <v>3096</v>
      </c>
      <c r="L550" s="6" t="s">
        <v>3155</v>
      </c>
      <c r="M550" s="9" t="s">
        <v>3821</v>
      </c>
      <c r="N550" s="5" t="str">
        <f t="shared" ref="N550" si="538">TEXT(H550, "DD-MMM-YYY")</f>
        <v>15-Jan-1991</v>
      </c>
      <c r="O550" s="6" t="s">
        <v>58</v>
      </c>
    </row>
    <row r="551" spans="1:15" x14ac:dyDescent="0.35">
      <c r="A551" s="3" t="s">
        <v>292</v>
      </c>
      <c r="B551" s="3" t="s">
        <v>220</v>
      </c>
      <c r="C551" s="3" t="s">
        <v>61</v>
      </c>
      <c r="D551" s="3" t="s">
        <v>111</v>
      </c>
      <c r="E551" s="3" t="s">
        <v>112</v>
      </c>
      <c r="F551" s="3" t="s">
        <v>1295</v>
      </c>
      <c r="G551" s="3" t="s">
        <v>1296</v>
      </c>
      <c r="H551" s="4">
        <v>33683</v>
      </c>
      <c r="I551" s="6" t="s">
        <v>2322</v>
      </c>
      <c r="J551" s="6" t="s">
        <v>2502</v>
      </c>
      <c r="K551" s="6" t="s">
        <v>3097</v>
      </c>
      <c r="L551" s="6" t="s">
        <v>3255</v>
      </c>
      <c r="M551" s="9" t="s">
        <v>3822</v>
      </c>
      <c r="N551" s="5" t="str">
        <f t="shared" ref="N551" si="539">TEXT(H551,"DD-MMM-YYY")</f>
        <v>20-Mar-1992</v>
      </c>
      <c r="O551" s="6" t="s">
        <v>72</v>
      </c>
    </row>
    <row r="552" spans="1:15" x14ac:dyDescent="0.35">
      <c r="A552" s="3" t="s">
        <v>295</v>
      </c>
      <c r="B552" s="3" t="s">
        <v>224</v>
      </c>
      <c r="C552" s="3" t="s">
        <v>75</v>
      </c>
      <c r="D552" s="3" t="s">
        <v>118</v>
      </c>
      <c r="E552" s="3" t="s">
        <v>119</v>
      </c>
      <c r="F552" s="3" t="s">
        <v>1297</v>
      </c>
      <c r="G552" s="3" t="s">
        <v>1298</v>
      </c>
      <c r="H552" s="4">
        <v>34114</v>
      </c>
      <c r="I552" s="6" t="s">
        <v>2323</v>
      </c>
      <c r="J552" s="6" t="s">
        <v>2503</v>
      </c>
      <c r="K552" s="6" t="s">
        <v>3098</v>
      </c>
      <c r="L552" s="6" t="s">
        <v>3172</v>
      </c>
      <c r="M552" s="9" t="s">
        <v>3823</v>
      </c>
      <c r="N552" s="5" t="str">
        <f t="shared" ref="N552" si="540">TEXT(H552, "DD-MMM-YYY")</f>
        <v>25-May-1993</v>
      </c>
      <c r="O552" s="6" t="s">
        <v>86</v>
      </c>
    </row>
    <row r="553" spans="1:15" x14ac:dyDescent="0.35">
      <c r="A553" s="3" t="s">
        <v>298</v>
      </c>
      <c r="B553" s="3" t="s">
        <v>228</v>
      </c>
      <c r="C553" s="3" t="s">
        <v>89</v>
      </c>
      <c r="D553" s="3" t="s">
        <v>125</v>
      </c>
      <c r="E553" s="3" t="s">
        <v>126</v>
      </c>
      <c r="F553" s="3" t="s">
        <v>1299</v>
      </c>
      <c r="G553" s="3" t="s">
        <v>1300</v>
      </c>
      <c r="H553" s="4">
        <v>34517</v>
      </c>
      <c r="I553" s="6" t="s">
        <v>2324</v>
      </c>
      <c r="J553" s="6" t="s">
        <v>2504</v>
      </c>
      <c r="K553" s="6" t="s">
        <v>3099</v>
      </c>
      <c r="L553" s="6" t="s">
        <v>3162</v>
      </c>
      <c r="M553" s="9" t="s">
        <v>3824</v>
      </c>
      <c r="N553" s="5" t="str">
        <f t="shared" ref="N553" si="541">TEXT(H553,"DD-MMM-YYY")</f>
        <v>02-Jul-1994</v>
      </c>
      <c r="O553" s="6" t="s">
        <v>100</v>
      </c>
    </row>
    <row r="554" spans="1:15" x14ac:dyDescent="0.35">
      <c r="A554" s="3" t="s">
        <v>17</v>
      </c>
      <c r="B554" s="3" t="s">
        <v>232</v>
      </c>
      <c r="C554" s="3" t="s">
        <v>103</v>
      </c>
      <c r="D554" s="3" t="s">
        <v>132</v>
      </c>
      <c r="E554" s="3" t="s">
        <v>126</v>
      </c>
      <c r="F554" s="3" t="s">
        <v>1301</v>
      </c>
      <c r="G554" s="3" t="s">
        <v>1302</v>
      </c>
      <c r="H554" s="4">
        <v>34949</v>
      </c>
      <c r="I554" s="6" t="s">
        <v>2325</v>
      </c>
      <c r="J554" s="6" t="s">
        <v>2505</v>
      </c>
      <c r="K554" s="6" t="s">
        <v>3100</v>
      </c>
      <c r="L554" s="6" t="s">
        <v>3170</v>
      </c>
      <c r="M554" s="9" t="s">
        <v>3825</v>
      </c>
      <c r="N554" s="5" t="str">
        <f t="shared" ref="N554" si="542">TEXT(H554, "DD-MMM-YYY")</f>
        <v>07-Sept-1995</v>
      </c>
      <c r="O554" s="6" t="s">
        <v>3875</v>
      </c>
    </row>
    <row r="555" spans="1:15" x14ac:dyDescent="0.35">
      <c r="A555" s="3" t="s">
        <v>31</v>
      </c>
      <c r="B555" s="3" t="s">
        <v>236</v>
      </c>
      <c r="C555" s="3" t="s">
        <v>110</v>
      </c>
      <c r="D555" s="3" t="s">
        <v>138</v>
      </c>
      <c r="E555" s="3" t="s">
        <v>139</v>
      </c>
      <c r="F555" s="3" t="s">
        <v>1303</v>
      </c>
      <c r="G555" s="3" t="s">
        <v>1304</v>
      </c>
      <c r="H555" s="4">
        <v>35381</v>
      </c>
      <c r="I555" s="6" t="s">
        <v>2326</v>
      </c>
      <c r="J555" s="6" t="s">
        <v>1633</v>
      </c>
      <c r="K555" s="6" t="s">
        <v>3101</v>
      </c>
      <c r="L555" s="6" t="s">
        <v>3256</v>
      </c>
      <c r="M555" s="9" t="s">
        <v>3826</v>
      </c>
      <c r="N555" s="5" t="str">
        <f t="shared" ref="N555" si="543">TEXT(H555,"DD-MMM-YYY")</f>
        <v>12-Nov-1996</v>
      </c>
      <c r="O555" s="6" t="s">
        <v>3876</v>
      </c>
    </row>
    <row r="556" spans="1:15" x14ac:dyDescent="0.35">
      <c r="A556" s="3" t="s">
        <v>45</v>
      </c>
      <c r="B556" s="3" t="s">
        <v>240</v>
      </c>
      <c r="C556" s="3" t="s">
        <v>117</v>
      </c>
      <c r="D556" s="3" t="s">
        <v>145</v>
      </c>
      <c r="E556" s="3" t="s">
        <v>146</v>
      </c>
      <c r="F556" s="3" t="s">
        <v>1305</v>
      </c>
      <c r="G556" s="3" t="s">
        <v>1306</v>
      </c>
      <c r="H556" s="4">
        <v>35447</v>
      </c>
      <c r="I556" s="6" t="s">
        <v>2327</v>
      </c>
      <c r="J556" s="6" t="s">
        <v>2506</v>
      </c>
      <c r="K556" s="6" t="s">
        <v>3102</v>
      </c>
      <c r="L556" s="6" t="s">
        <v>3168</v>
      </c>
      <c r="M556" s="9" t="s">
        <v>3827</v>
      </c>
      <c r="N556" s="5" t="str">
        <f t="shared" ref="N556" si="544">TEXT(H556, "DD-MMM-YYY")</f>
        <v>17-Jan-1997</v>
      </c>
      <c r="O556" s="6" t="s">
        <v>3877</v>
      </c>
    </row>
    <row r="557" spans="1:15" x14ac:dyDescent="0.35">
      <c r="A557" s="3" t="s">
        <v>59</v>
      </c>
      <c r="B557" s="3" t="s">
        <v>244</v>
      </c>
      <c r="C557" s="3" t="s">
        <v>124</v>
      </c>
      <c r="D557" s="3" t="s">
        <v>152</v>
      </c>
      <c r="E557" s="3" t="s">
        <v>153</v>
      </c>
      <c r="F557" s="3" t="s">
        <v>1307</v>
      </c>
      <c r="G557" s="3" t="s">
        <v>1308</v>
      </c>
      <c r="H557" s="4">
        <v>35876</v>
      </c>
      <c r="I557" s="6" t="s">
        <v>2328</v>
      </c>
      <c r="J557" s="6" t="s">
        <v>2507</v>
      </c>
      <c r="K557" s="6" t="s">
        <v>3103</v>
      </c>
      <c r="L557" s="6" t="s">
        <v>3235</v>
      </c>
      <c r="M557" s="9" t="s">
        <v>3828</v>
      </c>
      <c r="N557" s="5" t="str">
        <f t="shared" ref="N557" si="545">TEXT(H557,"DD-MMM-YYY")</f>
        <v>22-Mar-1998</v>
      </c>
      <c r="O557" s="6" t="s">
        <v>3878</v>
      </c>
    </row>
    <row r="558" spans="1:15" x14ac:dyDescent="0.35">
      <c r="A558" s="3" t="s">
        <v>73</v>
      </c>
      <c r="B558" s="3" t="s">
        <v>248</v>
      </c>
      <c r="C558" s="3" t="s">
        <v>131</v>
      </c>
      <c r="D558" s="3" t="s">
        <v>159</v>
      </c>
      <c r="E558" s="3" t="s">
        <v>77</v>
      </c>
      <c r="F558" s="3" t="s">
        <v>1309</v>
      </c>
      <c r="G558" s="3" t="s">
        <v>1310</v>
      </c>
      <c r="H558" s="4">
        <v>36307</v>
      </c>
      <c r="I558" s="6" t="s">
        <v>2329</v>
      </c>
      <c r="J558" s="6" t="s">
        <v>2508</v>
      </c>
      <c r="K558" s="6" t="s">
        <v>3104</v>
      </c>
      <c r="L558" s="6" t="s">
        <v>3257</v>
      </c>
      <c r="M558" s="9" t="s">
        <v>3829</v>
      </c>
      <c r="N558" s="5" t="str">
        <f t="shared" ref="N558" si="546">TEXT(H558, "DD-MMM-YYY")</f>
        <v>27-May-1999</v>
      </c>
      <c r="O558" s="6" t="s">
        <v>3879</v>
      </c>
    </row>
    <row r="559" spans="1:15" x14ac:dyDescent="0.35">
      <c r="A559" s="3" t="s">
        <v>87</v>
      </c>
      <c r="B559" s="3" t="s">
        <v>252</v>
      </c>
      <c r="C559" s="3" t="s">
        <v>137</v>
      </c>
      <c r="D559" s="3" t="s">
        <v>165</v>
      </c>
      <c r="E559" s="3" t="s">
        <v>166</v>
      </c>
      <c r="F559" s="3" t="s">
        <v>1311</v>
      </c>
      <c r="G559" s="3" t="s">
        <v>1312</v>
      </c>
      <c r="H559" s="4">
        <v>31232</v>
      </c>
      <c r="I559" s="6" t="s">
        <v>2330</v>
      </c>
      <c r="J559" s="6" t="s">
        <v>2509</v>
      </c>
      <c r="K559" s="6" t="s">
        <v>3105</v>
      </c>
      <c r="L559" s="6" t="s">
        <v>3258</v>
      </c>
      <c r="M559" s="9" t="s">
        <v>3830</v>
      </c>
      <c r="N559" s="5" t="str">
        <f t="shared" ref="N559" si="547">TEXT(H559,"DD-MMM-YYY")</f>
        <v>04-Jul-1985</v>
      </c>
      <c r="O559" s="6" t="s">
        <v>3880</v>
      </c>
    </row>
    <row r="560" spans="1:15" x14ac:dyDescent="0.35">
      <c r="A560" s="3" t="s">
        <v>101</v>
      </c>
      <c r="B560" s="3" t="s">
        <v>256</v>
      </c>
      <c r="C560" s="3" t="s">
        <v>144</v>
      </c>
      <c r="D560" s="3" t="s">
        <v>171</v>
      </c>
      <c r="E560" s="3" t="s">
        <v>172</v>
      </c>
      <c r="F560" s="3" t="s">
        <v>1313</v>
      </c>
      <c r="G560" s="3" t="s">
        <v>1314</v>
      </c>
      <c r="H560" s="4">
        <v>31664</v>
      </c>
      <c r="I560" s="6" t="s">
        <v>2331</v>
      </c>
      <c r="J560" s="6" t="s">
        <v>2510</v>
      </c>
      <c r="K560" s="6" t="s">
        <v>3106</v>
      </c>
      <c r="L560" s="6" t="s">
        <v>3259</v>
      </c>
      <c r="M560" s="9" t="s">
        <v>3831</v>
      </c>
      <c r="N560" s="5" t="str">
        <f t="shared" ref="N560" si="548">TEXT(H560, "DD-MMM-YYY")</f>
        <v>09-Sept-1986</v>
      </c>
      <c r="O560" s="6" t="s">
        <v>3881</v>
      </c>
    </row>
    <row r="561" spans="1:15" x14ac:dyDescent="0.35">
      <c r="A561" s="3" t="s">
        <v>108</v>
      </c>
      <c r="B561" s="3" t="s">
        <v>260</v>
      </c>
      <c r="C561" s="3" t="s">
        <v>151</v>
      </c>
      <c r="D561" s="3" t="s">
        <v>162</v>
      </c>
      <c r="E561" s="3" t="s">
        <v>63</v>
      </c>
      <c r="F561" s="3" t="s">
        <v>1315</v>
      </c>
      <c r="G561" s="3" t="s">
        <v>1316</v>
      </c>
      <c r="H561" s="4">
        <v>32095</v>
      </c>
      <c r="I561" s="6" t="s">
        <v>2332</v>
      </c>
      <c r="J561" s="6" t="s">
        <v>2511</v>
      </c>
      <c r="K561" s="6" t="s">
        <v>3107</v>
      </c>
      <c r="L561" s="6" t="s">
        <v>3209</v>
      </c>
      <c r="M561" s="9" t="s">
        <v>3832</v>
      </c>
      <c r="N561" s="5" t="str">
        <f t="shared" ref="N561" si="549">TEXT(H561,"DD-MMM-YYY")</f>
        <v>14-Nov-1987</v>
      </c>
      <c r="O561" s="6" t="s">
        <v>3882</v>
      </c>
    </row>
    <row r="562" spans="1:15" x14ac:dyDescent="0.35">
      <c r="A562" s="3" t="s">
        <v>115</v>
      </c>
      <c r="B562" s="3" t="s">
        <v>264</v>
      </c>
      <c r="C562" s="3" t="s">
        <v>158</v>
      </c>
      <c r="D562" s="3" t="s">
        <v>181</v>
      </c>
      <c r="E562" s="3" t="s">
        <v>182</v>
      </c>
      <c r="F562" s="3" t="s">
        <v>1317</v>
      </c>
      <c r="G562" s="3" t="s">
        <v>1318</v>
      </c>
      <c r="H562" s="4">
        <v>32161</v>
      </c>
      <c r="I562" s="6" t="s">
        <v>2333</v>
      </c>
      <c r="J562" s="6" t="s">
        <v>2512</v>
      </c>
      <c r="K562" s="6" t="s">
        <v>3108</v>
      </c>
      <c r="L562" s="6" t="s">
        <v>3260</v>
      </c>
      <c r="M562" s="9" t="s">
        <v>3833</v>
      </c>
      <c r="N562" s="5" t="str">
        <f t="shared" ref="N562" si="550">TEXT(H562, "DD-MMM-YYY")</f>
        <v>19-Jan-1988</v>
      </c>
      <c r="O562" s="6" t="s">
        <v>3883</v>
      </c>
    </row>
    <row r="563" spans="1:15" x14ac:dyDescent="0.35">
      <c r="A563" s="3" t="s">
        <v>122</v>
      </c>
      <c r="B563" s="3" t="s">
        <v>268</v>
      </c>
      <c r="C563" s="3" t="s">
        <v>164</v>
      </c>
      <c r="D563" s="3" t="s">
        <v>187</v>
      </c>
      <c r="E563" s="3" t="s">
        <v>188</v>
      </c>
      <c r="F563" s="3" t="s">
        <v>1319</v>
      </c>
      <c r="G563" s="3" t="s">
        <v>1320</v>
      </c>
      <c r="H563" s="4">
        <v>32591</v>
      </c>
      <c r="I563" s="6" t="s">
        <v>2334</v>
      </c>
      <c r="J563" s="6" t="s">
        <v>2513</v>
      </c>
      <c r="K563" s="6" t="s">
        <v>3109</v>
      </c>
      <c r="L563" s="6" t="s">
        <v>3153</v>
      </c>
      <c r="M563" s="9" t="s">
        <v>3834</v>
      </c>
      <c r="N563" s="5" t="str">
        <f t="shared" ref="N563" si="551">TEXT(H563,"DD-MMM-YYY")</f>
        <v>24-Mar-1989</v>
      </c>
      <c r="O563" s="6" t="s">
        <v>3884</v>
      </c>
    </row>
    <row r="564" spans="1:15" x14ac:dyDescent="0.35">
      <c r="A564" s="3" t="s">
        <v>129</v>
      </c>
      <c r="B564" s="3" t="s">
        <v>18</v>
      </c>
      <c r="C564" s="3" t="s">
        <v>19</v>
      </c>
      <c r="D564" s="3" t="s">
        <v>20</v>
      </c>
      <c r="E564" s="3" t="s">
        <v>21</v>
      </c>
      <c r="F564" s="3" t="s">
        <v>1321</v>
      </c>
      <c r="G564" s="3" t="s">
        <v>1322</v>
      </c>
      <c r="H564" s="4">
        <v>32994</v>
      </c>
      <c r="I564" s="6" t="s">
        <v>2335</v>
      </c>
      <c r="J564" s="6" t="s">
        <v>2514</v>
      </c>
      <c r="K564" s="6" t="s">
        <v>3110</v>
      </c>
      <c r="L564" s="6" t="s">
        <v>3241</v>
      </c>
      <c r="M564" s="9" t="s">
        <v>3835</v>
      </c>
      <c r="N564" s="5" t="str">
        <f t="shared" ref="N564" si="552">TEXT(H564, "DD-MMM-YYY")</f>
        <v>01-May-1990</v>
      </c>
      <c r="O564" s="6" t="s">
        <v>30</v>
      </c>
    </row>
    <row r="565" spans="1:15" x14ac:dyDescent="0.35">
      <c r="A565" s="3" t="s">
        <v>135</v>
      </c>
      <c r="B565" s="3" t="s">
        <v>32</v>
      </c>
      <c r="C565" s="3" t="s">
        <v>33</v>
      </c>
      <c r="D565" s="3" t="s">
        <v>34</v>
      </c>
      <c r="E565" s="3" t="s">
        <v>35</v>
      </c>
      <c r="F565" s="3" t="s">
        <v>1323</v>
      </c>
      <c r="G565" s="3" t="s">
        <v>1324</v>
      </c>
      <c r="H565" s="4">
        <v>33425</v>
      </c>
      <c r="I565" s="6" t="s">
        <v>2336</v>
      </c>
      <c r="J565" s="6" t="s">
        <v>1561</v>
      </c>
      <c r="K565" s="6" t="s">
        <v>3111</v>
      </c>
      <c r="L565" s="6" t="s">
        <v>3261</v>
      </c>
      <c r="M565" s="9" t="s">
        <v>3836</v>
      </c>
      <c r="N565" s="5" t="str">
        <f t="shared" ref="N565" si="553">TEXT(H565,"DD-MMM-YYY")</f>
        <v>06-Jul-1991</v>
      </c>
      <c r="O565" s="6" t="s">
        <v>44</v>
      </c>
    </row>
    <row r="566" spans="1:15" x14ac:dyDescent="0.35">
      <c r="A566" s="3" t="s">
        <v>142</v>
      </c>
      <c r="B566" s="3" t="s">
        <v>46</v>
      </c>
      <c r="C566" s="3" t="s">
        <v>47</v>
      </c>
      <c r="D566" s="3" t="s">
        <v>48</v>
      </c>
      <c r="E566" s="3" t="s">
        <v>49</v>
      </c>
      <c r="F566" s="3" t="s">
        <v>1325</v>
      </c>
      <c r="G566" s="3" t="s">
        <v>1326</v>
      </c>
      <c r="H566" s="4">
        <v>33858</v>
      </c>
      <c r="I566" s="6" t="s">
        <v>2337</v>
      </c>
      <c r="J566" s="6" t="s">
        <v>2515</v>
      </c>
      <c r="K566" s="6" t="s">
        <v>3112</v>
      </c>
      <c r="L566" s="6" t="s">
        <v>3262</v>
      </c>
      <c r="M566" s="9" t="s">
        <v>3837</v>
      </c>
      <c r="N566" s="5" t="str">
        <f t="shared" ref="N566" si="554">TEXT(H566, "DD-MMM-YYY")</f>
        <v>11-Sept-1992</v>
      </c>
      <c r="O566" s="6" t="s">
        <v>58</v>
      </c>
    </row>
    <row r="567" spans="1:15" x14ac:dyDescent="0.35">
      <c r="A567" s="3" t="s">
        <v>149</v>
      </c>
      <c r="B567" s="3" t="s">
        <v>60</v>
      </c>
      <c r="C567" s="3" t="s">
        <v>61</v>
      </c>
      <c r="D567" s="3" t="s">
        <v>62</v>
      </c>
      <c r="E567" s="3" t="s">
        <v>63</v>
      </c>
      <c r="F567" s="3" t="s">
        <v>1327</v>
      </c>
      <c r="G567" s="3" t="s">
        <v>1328</v>
      </c>
      <c r="H567" s="4">
        <v>34289</v>
      </c>
      <c r="I567" s="6" t="s">
        <v>2338</v>
      </c>
      <c r="J567" s="6" t="s">
        <v>2516</v>
      </c>
      <c r="K567" s="6" t="s">
        <v>3113</v>
      </c>
      <c r="L567" s="6" t="s">
        <v>69</v>
      </c>
      <c r="M567" s="9" t="s">
        <v>3838</v>
      </c>
      <c r="N567" s="5" t="str">
        <f t="shared" ref="N567" si="555">TEXT(H567,"DD-MMM-YYY")</f>
        <v>16-Nov-1993</v>
      </c>
      <c r="O567" s="6" t="s">
        <v>72</v>
      </c>
    </row>
    <row r="568" spans="1:15" x14ac:dyDescent="0.35">
      <c r="A568" s="3" t="s">
        <v>156</v>
      </c>
      <c r="B568" s="3" t="s">
        <v>74</v>
      </c>
      <c r="C568" s="3" t="s">
        <v>75</v>
      </c>
      <c r="D568" s="3" t="s">
        <v>76</v>
      </c>
      <c r="E568" s="3" t="s">
        <v>77</v>
      </c>
      <c r="F568" s="3" t="s">
        <v>1329</v>
      </c>
      <c r="G568" s="3" t="s">
        <v>1330</v>
      </c>
      <c r="H568" s="4">
        <v>34355</v>
      </c>
      <c r="I568" s="6" t="s">
        <v>2339</v>
      </c>
      <c r="J568" s="6" t="s">
        <v>2517</v>
      </c>
      <c r="K568" s="6" t="s">
        <v>3114</v>
      </c>
      <c r="L568" s="6" t="s">
        <v>3263</v>
      </c>
      <c r="M568" s="9" t="s">
        <v>3839</v>
      </c>
      <c r="N568" s="5" t="str">
        <f t="shared" ref="N568" si="556">TEXT(H568, "DD-MMM-YYY")</f>
        <v>21-Jan-1994</v>
      </c>
      <c r="O568" s="6" t="s">
        <v>86</v>
      </c>
    </row>
    <row r="569" spans="1:15" x14ac:dyDescent="0.35">
      <c r="A569" s="3" t="s">
        <v>162</v>
      </c>
      <c r="B569" s="3" t="s">
        <v>88</v>
      </c>
      <c r="C569" s="3" t="s">
        <v>89</v>
      </c>
      <c r="D569" s="3" t="s">
        <v>90</v>
      </c>
      <c r="E569" s="3" t="s">
        <v>91</v>
      </c>
      <c r="F569" s="3" t="s">
        <v>1331</v>
      </c>
      <c r="G569" s="3" t="s">
        <v>1332</v>
      </c>
      <c r="H569" s="4">
        <v>34784</v>
      </c>
      <c r="I569" s="6" t="s">
        <v>2340</v>
      </c>
      <c r="J569" s="6" t="s">
        <v>2518</v>
      </c>
      <c r="K569" s="6" t="s">
        <v>3115</v>
      </c>
      <c r="L569" s="6" t="s">
        <v>3252</v>
      </c>
      <c r="M569" s="9" t="s">
        <v>3840</v>
      </c>
      <c r="N569" s="5" t="str">
        <f t="shared" ref="N569" si="557">TEXT(H569,"DD-MMM-YYY")</f>
        <v>26-Mar-1995</v>
      </c>
      <c r="O569" s="6" t="s">
        <v>100</v>
      </c>
    </row>
    <row r="570" spans="1:15" x14ac:dyDescent="0.35">
      <c r="A570" s="3" t="s">
        <v>169</v>
      </c>
      <c r="B570" s="3" t="s">
        <v>102</v>
      </c>
      <c r="C570" s="3" t="s">
        <v>103</v>
      </c>
      <c r="D570" s="3" t="s">
        <v>104</v>
      </c>
      <c r="E570" s="3" t="s">
        <v>105</v>
      </c>
      <c r="F570" s="3" t="s">
        <v>1333</v>
      </c>
      <c r="G570" s="3" t="s">
        <v>1334</v>
      </c>
      <c r="H570" s="4">
        <v>35188</v>
      </c>
      <c r="I570" s="6" t="s">
        <v>2341</v>
      </c>
      <c r="J570" s="6" t="s">
        <v>2519</v>
      </c>
      <c r="K570" s="6" t="s">
        <v>3116</v>
      </c>
      <c r="L570" s="6" t="s">
        <v>3264</v>
      </c>
      <c r="M570" s="9" t="s">
        <v>3841</v>
      </c>
      <c r="N570" s="5" t="str">
        <f t="shared" ref="N570" si="558">TEXT(H570, "DD-MMM-YYY")</f>
        <v>03-May-1996</v>
      </c>
      <c r="O570" s="6" t="s">
        <v>3875</v>
      </c>
    </row>
    <row r="571" spans="1:15" x14ac:dyDescent="0.35">
      <c r="A571" s="3" t="s">
        <v>175</v>
      </c>
      <c r="B571" s="3" t="s">
        <v>109</v>
      </c>
      <c r="C571" s="3" t="s">
        <v>110</v>
      </c>
      <c r="D571" s="3" t="s">
        <v>111</v>
      </c>
      <c r="E571" s="3" t="s">
        <v>112</v>
      </c>
      <c r="F571" s="3" t="s">
        <v>1335</v>
      </c>
      <c r="G571" s="3" t="s">
        <v>1336</v>
      </c>
      <c r="H571" s="4">
        <v>35619</v>
      </c>
      <c r="I571" s="6" t="s">
        <v>2342</v>
      </c>
      <c r="J571" s="6" t="s">
        <v>2520</v>
      </c>
      <c r="K571" s="6" t="s">
        <v>3117</v>
      </c>
      <c r="L571" s="6" t="s">
        <v>3194</v>
      </c>
      <c r="M571" s="9" t="s">
        <v>3842</v>
      </c>
      <c r="N571" s="5" t="str">
        <f t="shared" ref="N571" si="559">TEXT(H571,"DD-MMM-YYY")</f>
        <v>08-Jul-1997</v>
      </c>
      <c r="O571" s="6" t="s">
        <v>3876</v>
      </c>
    </row>
    <row r="572" spans="1:15" x14ac:dyDescent="0.35">
      <c r="A572" s="3" t="s">
        <v>179</v>
      </c>
      <c r="B572" s="3" t="s">
        <v>116</v>
      </c>
      <c r="C572" s="3" t="s">
        <v>117</v>
      </c>
      <c r="D572" s="3" t="s">
        <v>118</v>
      </c>
      <c r="E572" s="3" t="s">
        <v>119</v>
      </c>
      <c r="F572" s="3" t="s">
        <v>1337</v>
      </c>
      <c r="G572" s="3" t="s">
        <v>1338</v>
      </c>
      <c r="H572" s="4">
        <v>36051</v>
      </c>
      <c r="I572" s="6" t="s">
        <v>2343</v>
      </c>
      <c r="J572" s="6" t="s">
        <v>2521</v>
      </c>
      <c r="K572" s="6" t="s">
        <v>3118</v>
      </c>
      <c r="L572" s="6" t="s">
        <v>3154</v>
      </c>
      <c r="M572" s="9" t="s">
        <v>3843</v>
      </c>
      <c r="N572" s="5" t="str">
        <f t="shared" ref="N572" si="560">TEXT(H572, "DD-MMM-YYY")</f>
        <v>13-Sept-1998</v>
      </c>
      <c r="O572" s="6" t="s">
        <v>3877</v>
      </c>
    </row>
    <row r="573" spans="1:15" x14ac:dyDescent="0.35">
      <c r="A573" s="3" t="s">
        <v>185</v>
      </c>
      <c r="B573" s="3" t="s">
        <v>123</v>
      </c>
      <c r="C573" s="3" t="s">
        <v>124</v>
      </c>
      <c r="D573" s="3" t="s">
        <v>125</v>
      </c>
      <c r="E573" s="3" t="s">
        <v>126</v>
      </c>
      <c r="F573" s="3" t="s">
        <v>1339</v>
      </c>
      <c r="G573" s="3" t="s">
        <v>1340</v>
      </c>
      <c r="H573" s="4">
        <v>36482</v>
      </c>
      <c r="I573" s="6" t="s">
        <v>2344</v>
      </c>
      <c r="J573" s="6" t="s">
        <v>2522</v>
      </c>
      <c r="K573" s="6" t="s">
        <v>3119</v>
      </c>
      <c r="L573" s="6" t="s">
        <v>3186</v>
      </c>
      <c r="M573" s="9" t="s">
        <v>3844</v>
      </c>
      <c r="N573" s="5" t="str">
        <f t="shared" ref="N573" si="561">TEXT(H573,"DD-MMM-YYY")</f>
        <v>18-Nov-1999</v>
      </c>
      <c r="O573" s="6" t="s">
        <v>3878</v>
      </c>
    </row>
    <row r="574" spans="1:15" x14ac:dyDescent="0.35">
      <c r="A574" s="3" t="s">
        <v>191</v>
      </c>
      <c r="B574" s="3" t="s">
        <v>130</v>
      </c>
      <c r="C574" s="3" t="s">
        <v>131</v>
      </c>
      <c r="D574" s="3" t="s">
        <v>132</v>
      </c>
      <c r="E574" s="3" t="s">
        <v>126</v>
      </c>
      <c r="F574" s="3" t="s">
        <v>1341</v>
      </c>
      <c r="G574" s="3" t="s">
        <v>1342</v>
      </c>
      <c r="H574" s="4">
        <v>31070</v>
      </c>
      <c r="I574" s="6" t="s">
        <v>2345</v>
      </c>
      <c r="J574" s="6" t="s">
        <v>2523</v>
      </c>
      <c r="K574" s="6" t="s">
        <v>3120</v>
      </c>
      <c r="L574" s="6" t="s">
        <v>3190</v>
      </c>
      <c r="M574" s="9" t="s">
        <v>3845</v>
      </c>
      <c r="N574" s="5" t="str">
        <f t="shared" ref="N574" si="562">TEXT(H574, "DD-MMM-YYY")</f>
        <v>23-Jan-1985</v>
      </c>
      <c r="O574" s="6" t="s">
        <v>3879</v>
      </c>
    </row>
    <row r="575" spans="1:15" x14ac:dyDescent="0.35">
      <c r="A575" s="3" t="s">
        <v>195</v>
      </c>
      <c r="B575" s="3" t="s">
        <v>136</v>
      </c>
      <c r="C575" s="3" t="s">
        <v>137</v>
      </c>
      <c r="D575" s="3" t="s">
        <v>138</v>
      </c>
      <c r="E575" s="3" t="s">
        <v>139</v>
      </c>
      <c r="F575" s="3" t="s">
        <v>1343</v>
      </c>
      <c r="G575" s="3" t="s">
        <v>1344</v>
      </c>
      <c r="H575" s="4">
        <v>31499</v>
      </c>
      <c r="I575" s="6" t="s">
        <v>2346</v>
      </c>
      <c r="J575" s="6" t="s">
        <v>1692</v>
      </c>
      <c r="K575" s="6" t="s">
        <v>3121</v>
      </c>
      <c r="L575" s="6" t="s">
        <v>3243</v>
      </c>
      <c r="M575" s="9" t="s">
        <v>3846</v>
      </c>
      <c r="N575" s="5" t="str">
        <f t="shared" ref="N575" si="563">TEXT(H575,"DD-MMM-YYY")</f>
        <v>28-Mar-1986</v>
      </c>
      <c r="O575" s="6" t="s">
        <v>3880</v>
      </c>
    </row>
    <row r="576" spans="1:15" x14ac:dyDescent="0.35">
      <c r="A576" s="3" t="s">
        <v>199</v>
      </c>
      <c r="B576" s="3" t="s">
        <v>143</v>
      </c>
      <c r="C576" s="3" t="s">
        <v>144</v>
      </c>
      <c r="D576" s="3" t="s">
        <v>145</v>
      </c>
      <c r="E576" s="3" t="s">
        <v>146</v>
      </c>
      <c r="F576" s="3" t="s">
        <v>1345</v>
      </c>
      <c r="G576" s="3" t="s">
        <v>1346</v>
      </c>
      <c r="H576" s="4">
        <v>31902</v>
      </c>
      <c r="I576" s="6" t="s">
        <v>2347</v>
      </c>
      <c r="J576" s="6" t="s">
        <v>2524</v>
      </c>
      <c r="K576" s="6" t="s">
        <v>3122</v>
      </c>
      <c r="L576" s="6" t="s">
        <v>3265</v>
      </c>
      <c r="M576" s="9" t="s">
        <v>3847</v>
      </c>
      <c r="N576" s="5" t="str">
        <f t="shared" ref="N576" si="564">TEXT(H576, "DD-MMM-YYY")</f>
        <v>05-May-1987</v>
      </c>
      <c r="O576" s="6" t="s">
        <v>3881</v>
      </c>
    </row>
    <row r="577" spans="1:15" x14ac:dyDescent="0.35">
      <c r="A577" s="3" t="s">
        <v>203</v>
      </c>
      <c r="B577" s="3" t="s">
        <v>150</v>
      </c>
      <c r="C577" s="3" t="s">
        <v>151</v>
      </c>
      <c r="D577" s="3" t="s">
        <v>152</v>
      </c>
      <c r="E577" s="3" t="s">
        <v>153</v>
      </c>
      <c r="F577" s="3" t="s">
        <v>1347</v>
      </c>
      <c r="G577" s="3" t="s">
        <v>1348</v>
      </c>
      <c r="H577" s="4">
        <v>32334</v>
      </c>
      <c r="I577" s="6" t="s">
        <v>2348</v>
      </c>
      <c r="J577" s="6" t="s">
        <v>2525</v>
      </c>
      <c r="K577" s="6" t="s">
        <v>3123</v>
      </c>
      <c r="L577" s="6" t="s">
        <v>3266</v>
      </c>
      <c r="M577" s="9" t="s">
        <v>3848</v>
      </c>
      <c r="N577" s="5" t="str">
        <f t="shared" ref="N577" si="565">TEXT(H577,"DD-MMM-YYY")</f>
        <v>10-Jul-1988</v>
      </c>
      <c r="O577" s="6" t="s">
        <v>3882</v>
      </c>
    </row>
    <row r="578" spans="1:15" x14ac:dyDescent="0.35">
      <c r="A578" s="3" t="s">
        <v>207</v>
      </c>
      <c r="B578" s="3" t="s">
        <v>157</v>
      </c>
      <c r="C578" s="3" t="s">
        <v>158</v>
      </c>
      <c r="D578" s="3" t="s">
        <v>159</v>
      </c>
      <c r="E578" s="3" t="s">
        <v>77</v>
      </c>
      <c r="F578" s="3" t="s">
        <v>1349</v>
      </c>
      <c r="G578" s="3" t="s">
        <v>1350</v>
      </c>
      <c r="H578" s="4">
        <v>32766</v>
      </c>
      <c r="I578" s="6" t="s">
        <v>2349</v>
      </c>
      <c r="J578" s="6" t="s">
        <v>2526</v>
      </c>
      <c r="K578" s="6" t="s">
        <v>3124</v>
      </c>
      <c r="L578" s="6" t="s">
        <v>3222</v>
      </c>
      <c r="M578" s="9" t="s">
        <v>3849</v>
      </c>
      <c r="N578" s="5" t="str">
        <f t="shared" ref="N578" si="566">TEXT(H578, "DD-MMM-YYY")</f>
        <v>15-Sept-1989</v>
      </c>
      <c r="O578" s="6" t="s">
        <v>3883</v>
      </c>
    </row>
    <row r="579" spans="1:15" x14ac:dyDescent="0.35">
      <c r="A579" s="3" t="s">
        <v>211</v>
      </c>
      <c r="B579" s="3" t="s">
        <v>163</v>
      </c>
      <c r="C579" s="3" t="s">
        <v>164</v>
      </c>
      <c r="D579" s="3" t="s">
        <v>165</v>
      </c>
      <c r="E579" s="3" t="s">
        <v>166</v>
      </c>
      <c r="F579" s="3" t="s">
        <v>1351</v>
      </c>
      <c r="G579" s="3" t="s">
        <v>1352</v>
      </c>
      <c r="H579" s="4">
        <v>33197</v>
      </c>
      <c r="I579" s="6" t="s">
        <v>2350</v>
      </c>
      <c r="J579" s="6" t="s">
        <v>2527</v>
      </c>
      <c r="K579" s="6" t="s">
        <v>3125</v>
      </c>
      <c r="L579" s="6" t="s">
        <v>3267</v>
      </c>
      <c r="M579" s="9" t="s">
        <v>3850</v>
      </c>
      <c r="N579" s="5" t="str">
        <f t="shared" ref="N579" si="567">TEXT(H579,"DD-MMM-YYY")</f>
        <v>20-Nov-1990</v>
      </c>
      <c r="O579" s="6" t="s">
        <v>3884</v>
      </c>
    </row>
    <row r="580" spans="1:15" x14ac:dyDescent="0.35">
      <c r="A580" s="3" t="s">
        <v>215</v>
      </c>
      <c r="B580" s="3" t="s">
        <v>170</v>
      </c>
      <c r="C580" s="3" t="s">
        <v>19</v>
      </c>
      <c r="D580" s="3" t="s">
        <v>171</v>
      </c>
      <c r="E580" s="3" t="s">
        <v>172</v>
      </c>
      <c r="F580" s="3" t="s">
        <v>1353</v>
      </c>
      <c r="G580" s="3" t="s">
        <v>1354</v>
      </c>
      <c r="H580" s="4">
        <v>33263</v>
      </c>
      <c r="I580" s="6" t="s">
        <v>2351</v>
      </c>
      <c r="J580" s="6" t="s">
        <v>2528</v>
      </c>
      <c r="K580" s="6" t="s">
        <v>3126</v>
      </c>
      <c r="L580" s="6" t="s">
        <v>3247</v>
      </c>
      <c r="M580" s="9" t="s">
        <v>3851</v>
      </c>
      <c r="N580" s="5" t="str">
        <f t="shared" ref="N580" si="568">TEXT(H580, "DD-MMM-YYY")</f>
        <v>25-Jan-1991</v>
      </c>
      <c r="O580" s="6" t="s">
        <v>30</v>
      </c>
    </row>
    <row r="581" spans="1:15" x14ac:dyDescent="0.35">
      <c r="A581" s="3" t="s">
        <v>219</v>
      </c>
      <c r="B581" s="3" t="s">
        <v>176</v>
      </c>
      <c r="C581" s="3" t="s">
        <v>33</v>
      </c>
      <c r="D581" s="3" t="s">
        <v>162</v>
      </c>
      <c r="E581" s="3" t="s">
        <v>63</v>
      </c>
      <c r="F581" s="3" t="s">
        <v>1355</v>
      </c>
      <c r="G581" s="3" t="s">
        <v>1356</v>
      </c>
      <c r="H581" s="4">
        <v>33665</v>
      </c>
      <c r="I581" s="6" t="s">
        <v>2352</v>
      </c>
      <c r="J581" s="6" t="s">
        <v>2529</v>
      </c>
      <c r="K581" s="6" t="s">
        <v>3127</v>
      </c>
      <c r="L581" s="6" t="s">
        <v>153</v>
      </c>
      <c r="M581" s="9" t="s">
        <v>3852</v>
      </c>
      <c r="N581" s="5" t="str">
        <f t="shared" ref="N581" si="569">TEXT(H581,"DD-MMM-YYY")</f>
        <v>02-Mar-1992</v>
      </c>
      <c r="O581" s="6" t="s">
        <v>44</v>
      </c>
    </row>
    <row r="582" spans="1:15" x14ac:dyDescent="0.35">
      <c r="A582" s="3" t="s">
        <v>223</v>
      </c>
      <c r="B582" s="3" t="s">
        <v>180</v>
      </c>
      <c r="C582" s="3" t="s">
        <v>47</v>
      </c>
      <c r="D582" s="3" t="s">
        <v>181</v>
      </c>
      <c r="E582" s="3" t="s">
        <v>182</v>
      </c>
      <c r="F582" s="3" t="s">
        <v>1357</v>
      </c>
      <c r="G582" s="3" t="s">
        <v>1358</v>
      </c>
      <c r="H582" s="4">
        <v>34096</v>
      </c>
      <c r="I582" s="6" t="s">
        <v>2353</v>
      </c>
      <c r="J582" s="6" t="s">
        <v>2530</v>
      </c>
      <c r="K582" s="6" t="s">
        <v>3128</v>
      </c>
      <c r="L582" s="6" t="s">
        <v>3268</v>
      </c>
      <c r="M582" s="9" t="s">
        <v>3853</v>
      </c>
      <c r="N582" s="5" t="str">
        <f t="shared" ref="N582" si="570">TEXT(H582, "DD-MMM-YYY")</f>
        <v>07-May-1993</v>
      </c>
      <c r="O582" s="6" t="s">
        <v>58</v>
      </c>
    </row>
    <row r="583" spans="1:15" x14ac:dyDescent="0.35">
      <c r="A583" s="3" t="s">
        <v>227</v>
      </c>
      <c r="B583" s="3" t="s">
        <v>186</v>
      </c>
      <c r="C583" s="3" t="s">
        <v>61</v>
      </c>
      <c r="D583" s="3" t="s">
        <v>187</v>
      </c>
      <c r="E583" s="3" t="s">
        <v>188</v>
      </c>
      <c r="F583" s="3" t="s">
        <v>1359</v>
      </c>
      <c r="G583" s="3" t="s">
        <v>1360</v>
      </c>
      <c r="H583" s="4">
        <v>34527</v>
      </c>
      <c r="I583" s="6" t="s">
        <v>2354</v>
      </c>
      <c r="J583" s="6" t="s">
        <v>2531</v>
      </c>
      <c r="K583" s="6" t="s">
        <v>3129</v>
      </c>
      <c r="L583" s="6" t="s">
        <v>3269</v>
      </c>
      <c r="M583" s="9" t="s">
        <v>3854</v>
      </c>
      <c r="N583" s="5" t="str">
        <f t="shared" ref="N583" si="571">TEXT(H583,"DD-MMM-YYY")</f>
        <v>12-Jul-1994</v>
      </c>
      <c r="O583" s="6" t="s">
        <v>72</v>
      </c>
    </row>
    <row r="584" spans="1:15" x14ac:dyDescent="0.35">
      <c r="A584" s="3" t="s">
        <v>231</v>
      </c>
      <c r="B584" s="3" t="s">
        <v>192</v>
      </c>
      <c r="C584" s="3" t="s">
        <v>75</v>
      </c>
      <c r="D584" s="3" t="s">
        <v>20</v>
      </c>
      <c r="E584" s="3" t="s">
        <v>21</v>
      </c>
      <c r="F584" s="3" t="s">
        <v>1361</v>
      </c>
      <c r="G584" s="3" t="s">
        <v>1362</v>
      </c>
      <c r="H584" s="4">
        <v>34959</v>
      </c>
      <c r="I584" s="6" t="s">
        <v>2355</v>
      </c>
      <c r="J584" s="6" t="s">
        <v>2532</v>
      </c>
      <c r="K584" s="6" t="s">
        <v>3130</v>
      </c>
      <c r="L584" s="6" t="s">
        <v>3162</v>
      </c>
      <c r="M584" s="9" t="s">
        <v>3855</v>
      </c>
      <c r="N584" s="5" t="str">
        <f t="shared" ref="N584" si="572">TEXT(H584, "DD-MMM-YYY")</f>
        <v>17-Sept-1995</v>
      </c>
      <c r="O584" s="6" t="s">
        <v>86</v>
      </c>
    </row>
    <row r="585" spans="1:15" x14ac:dyDescent="0.35">
      <c r="A585" s="3" t="s">
        <v>235</v>
      </c>
      <c r="B585" s="3" t="s">
        <v>196</v>
      </c>
      <c r="C585" s="3" t="s">
        <v>89</v>
      </c>
      <c r="D585" s="3" t="s">
        <v>34</v>
      </c>
      <c r="E585" s="3" t="s">
        <v>35</v>
      </c>
      <c r="F585" s="3" t="s">
        <v>1363</v>
      </c>
      <c r="G585" s="3" t="s">
        <v>1364</v>
      </c>
      <c r="H585" s="4">
        <v>35391</v>
      </c>
      <c r="I585" s="6" t="s">
        <v>2356</v>
      </c>
      <c r="J585" s="6" t="s">
        <v>1623</v>
      </c>
      <c r="K585" s="6" t="s">
        <v>3131</v>
      </c>
      <c r="L585" s="6" t="s">
        <v>3163</v>
      </c>
      <c r="M585" s="9" t="s">
        <v>3856</v>
      </c>
      <c r="N585" s="5" t="str">
        <f t="shared" ref="N585" si="573">TEXT(H585,"DD-MMM-YYY")</f>
        <v>22-Nov-1996</v>
      </c>
      <c r="O585" s="6" t="s">
        <v>100</v>
      </c>
    </row>
    <row r="586" spans="1:15" x14ac:dyDescent="0.35">
      <c r="A586" s="3" t="s">
        <v>239</v>
      </c>
      <c r="B586" s="3" t="s">
        <v>200</v>
      </c>
      <c r="C586" s="3" t="s">
        <v>103</v>
      </c>
      <c r="D586" s="3" t="s">
        <v>48</v>
      </c>
      <c r="E586" s="3" t="s">
        <v>49</v>
      </c>
      <c r="F586" s="3" t="s">
        <v>1365</v>
      </c>
      <c r="G586" s="3" t="s">
        <v>1366</v>
      </c>
      <c r="H586" s="4">
        <v>35457</v>
      </c>
      <c r="I586" s="6" t="s">
        <v>2357</v>
      </c>
      <c r="J586" s="6" t="s">
        <v>2533</v>
      </c>
      <c r="K586" s="6" t="s">
        <v>3132</v>
      </c>
      <c r="L586" s="6" t="s">
        <v>3188</v>
      </c>
      <c r="M586" s="9" t="s">
        <v>3857</v>
      </c>
      <c r="N586" s="5" t="str">
        <f t="shared" ref="N586" si="574">TEXT(H586, "DD-MMM-YYY")</f>
        <v>27-Jan-1997</v>
      </c>
      <c r="O586" s="6" t="s">
        <v>3875</v>
      </c>
    </row>
    <row r="587" spans="1:15" x14ac:dyDescent="0.35">
      <c r="A587" s="3" t="s">
        <v>243</v>
      </c>
      <c r="B587" s="3" t="s">
        <v>204</v>
      </c>
      <c r="C587" s="3" t="s">
        <v>110</v>
      </c>
      <c r="D587" s="3" t="s">
        <v>62</v>
      </c>
      <c r="E587" s="3" t="s">
        <v>63</v>
      </c>
      <c r="F587" s="3" t="s">
        <v>1367</v>
      </c>
      <c r="G587" s="3" t="s">
        <v>1368</v>
      </c>
      <c r="H587" s="4">
        <v>35858</v>
      </c>
      <c r="I587" s="6" t="s">
        <v>2358</v>
      </c>
      <c r="J587" s="6" t="s">
        <v>2534</v>
      </c>
      <c r="K587" s="6" t="s">
        <v>3133</v>
      </c>
      <c r="L587" s="6" t="s">
        <v>3270</v>
      </c>
      <c r="M587" s="9" t="s">
        <v>3858</v>
      </c>
      <c r="N587" s="5" t="str">
        <f t="shared" ref="N587" si="575">TEXT(H587,"DD-MMM-YYY")</f>
        <v>04-Mar-1998</v>
      </c>
      <c r="O587" s="6" t="s">
        <v>3876</v>
      </c>
    </row>
    <row r="588" spans="1:15" x14ac:dyDescent="0.35">
      <c r="A588" s="3" t="s">
        <v>247</v>
      </c>
      <c r="B588" s="3" t="s">
        <v>208</v>
      </c>
      <c r="C588" s="3" t="s">
        <v>117</v>
      </c>
      <c r="D588" s="3" t="s">
        <v>76</v>
      </c>
      <c r="E588" s="3" t="s">
        <v>77</v>
      </c>
      <c r="F588" s="3" t="s">
        <v>1369</v>
      </c>
      <c r="G588" s="3" t="s">
        <v>1370</v>
      </c>
      <c r="H588" s="4">
        <v>36289</v>
      </c>
      <c r="I588" s="6" t="s">
        <v>2359</v>
      </c>
      <c r="J588" s="6" t="s">
        <v>2535</v>
      </c>
      <c r="K588" s="6" t="s">
        <v>3134</v>
      </c>
      <c r="L588" s="6" t="s">
        <v>3271</v>
      </c>
      <c r="M588" s="9" t="s">
        <v>3859</v>
      </c>
      <c r="N588" s="5" t="str">
        <f t="shared" ref="N588" si="576">TEXT(H588, "DD-MMM-YYY")</f>
        <v>09-May-1999</v>
      </c>
      <c r="O588" s="6" t="s">
        <v>3877</v>
      </c>
    </row>
    <row r="589" spans="1:15" x14ac:dyDescent="0.35">
      <c r="A589" s="3" t="s">
        <v>251</v>
      </c>
      <c r="B589" s="3" t="s">
        <v>212</v>
      </c>
      <c r="C589" s="3" t="s">
        <v>124</v>
      </c>
      <c r="D589" s="3" t="s">
        <v>90</v>
      </c>
      <c r="E589" s="3" t="s">
        <v>91</v>
      </c>
      <c r="F589" s="3" t="s">
        <v>1371</v>
      </c>
      <c r="G589" s="3" t="s">
        <v>1372</v>
      </c>
      <c r="H589" s="4">
        <v>31242</v>
      </c>
      <c r="I589" s="6" t="s">
        <v>2360</v>
      </c>
      <c r="J589" s="6" t="s">
        <v>2536</v>
      </c>
      <c r="K589" s="6" t="s">
        <v>3135</v>
      </c>
      <c r="L589" s="6" t="s">
        <v>3229</v>
      </c>
      <c r="M589" s="9" t="s">
        <v>3860</v>
      </c>
      <c r="N589" s="5" t="str">
        <f t="shared" ref="N589" si="577">TEXT(H589,"DD-MMM-YYY")</f>
        <v>14-Jul-1985</v>
      </c>
      <c r="O589" s="6" t="s">
        <v>3878</v>
      </c>
    </row>
    <row r="590" spans="1:15" x14ac:dyDescent="0.35">
      <c r="A590" s="3" t="s">
        <v>255</v>
      </c>
      <c r="B590" s="3" t="s">
        <v>216</v>
      </c>
      <c r="C590" s="3" t="s">
        <v>131</v>
      </c>
      <c r="D590" s="3" t="s">
        <v>104</v>
      </c>
      <c r="E590" s="3" t="s">
        <v>105</v>
      </c>
      <c r="F590" s="3" t="s">
        <v>1373</v>
      </c>
      <c r="G590" s="3" t="s">
        <v>1374</v>
      </c>
      <c r="H590" s="4">
        <v>31674</v>
      </c>
      <c r="I590" s="6" t="s">
        <v>2361</v>
      </c>
      <c r="J590" s="6" t="s">
        <v>2537</v>
      </c>
      <c r="K590" s="6" t="s">
        <v>3136</v>
      </c>
      <c r="L590" s="6" t="s">
        <v>41</v>
      </c>
      <c r="M590" s="9" t="s">
        <v>3861</v>
      </c>
      <c r="N590" s="5" t="str">
        <f t="shared" ref="N590" si="578">TEXT(H590, "DD-MMM-YYY")</f>
        <v>19-Sept-1986</v>
      </c>
      <c r="O590" s="6" t="s">
        <v>3879</v>
      </c>
    </row>
    <row r="591" spans="1:15" x14ac:dyDescent="0.35">
      <c r="A591" s="3" t="s">
        <v>259</v>
      </c>
      <c r="B591" s="3" t="s">
        <v>220</v>
      </c>
      <c r="C591" s="3" t="s">
        <v>137</v>
      </c>
      <c r="D591" s="3" t="s">
        <v>111</v>
      </c>
      <c r="E591" s="3" t="s">
        <v>112</v>
      </c>
      <c r="F591" s="3" t="s">
        <v>1375</v>
      </c>
      <c r="G591" s="3" t="s">
        <v>1376</v>
      </c>
      <c r="H591" s="4">
        <v>32105</v>
      </c>
      <c r="I591" s="6" t="s">
        <v>2362</v>
      </c>
      <c r="J591" s="6" t="s">
        <v>2538</v>
      </c>
      <c r="K591" s="6" t="s">
        <v>3137</v>
      </c>
      <c r="L591" s="6" t="s">
        <v>3272</v>
      </c>
      <c r="M591" s="9" t="s">
        <v>3862</v>
      </c>
      <c r="N591" s="5" t="str">
        <f t="shared" ref="N591" si="579">TEXT(H591,"DD-MMM-YYY")</f>
        <v>24-Nov-1987</v>
      </c>
      <c r="O591" s="6" t="s">
        <v>3880</v>
      </c>
    </row>
    <row r="592" spans="1:15" x14ac:dyDescent="0.35">
      <c r="A592" s="3" t="s">
        <v>263</v>
      </c>
      <c r="B592" s="3" t="s">
        <v>224</v>
      </c>
      <c r="C592" s="3" t="s">
        <v>144</v>
      </c>
      <c r="D592" s="3" t="s">
        <v>118</v>
      </c>
      <c r="E592" s="3" t="s">
        <v>119</v>
      </c>
      <c r="F592" s="3" t="s">
        <v>1377</v>
      </c>
      <c r="G592" s="3" t="s">
        <v>1378</v>
      </c>
      <c r="H592" s="4">
        <v>32143</v>
      </c>
      <c r="I592" s="6" t="s">
        <v>2363</v>
      </c>
      <c r="J592" s="6" t="s">
        <v>2539</v>
      </c>
      <c r="K592" s="6" t="s">
        <v>3138</v>
      </c>
      <c r="L592" s="6" t="s">
        <v>3234</v>
      </c>
      <c r="M592" s="9" t="s">
        <v>3863</v>
      </c>
      <c r="N592" s="5" t="str">
        <f t="shared" ref="N592" si="580">TEXT(H592, "DD-MMM-YYY")</f>
        <v>01-Jan-1988</v>
      </c>
      <c r="O592" s="6" t="s">
        <v>3881</v>
      </c>
    </row>
    <row r="593" spans="1:15" x14ac:dyDescent="0.35">
      <c r="A593" s="3" t="s">
        <v>267</v>
      </c>
      <c r="B593" s="3" t="s">
        <v>228</v>
      </c>
      <c r="C593" s="3" t="s">
        <v>151</v>
      </c>
      <c r="D593" s="3" t="s">
        <v>125</v>
      </c>
      <c r="E593" s="3" t="s">
        <v>126</v>
      </c>
      <c r="F593" s="3" t="s">
        <v>1379</v>
      </c>
      <c r="G593" s="3" t="s">
        <v>1380</v>
      </c>
      <c r="H593" s="4">
        <v>32573</v>
      </c>
      <c r="I593" s="6" t="s">
        <v>2364</v>
      </c>
      <c r="J593" s="6" t="s">
        <v>2540</v>
      </c>
      <c r="K593" s="6" t="s">
        <v>3139</v>
      </c>
      <c r="L593" s="6" t="s">
        <v>63</v>
      </c>
      <c r="M593" s="9" t="s">
        <v>3864</v>
      </c>
      <c r="N593" s="5" t="str">
        <f t="shared" ref="N593" si="581">TEXT(H593,"DD-MMM-YYY")</f>
        <v>06-Mar-1989</v>
      </c>
      <c r="O593" s="6" t="s">
        <v>3882</v>
      </c>
    </row>
    <row r="594" spans="1:15" x14ac:dyDescent="0.35">
      <c r="A594" s="3" t="s">
        <v>271</v>
      </c>
      <c r="B594" s="3" t="s">
        <v>232</v>
      </c>
      <c r="C594" s="3" t="s">
        <v>158</v>
      </c>
      <c r="D594" s="3" t="s">
        <v>132</v>
      </c>
      <c r="E594" s="3" t="s">
        <v>126</v>
      </c>
      <c r="F594" s="3" t="s">
        <v>1381</v>
      </c>
      <c r="G594" s="3" t="s">
        <v>1382</v>
      </c>
      <c r="H594" s="4">
        <v>33004</v>
      </c>
      <c r="I594" s="6" t="s">
        <v>2365</v>
      </c>
      <c r="J594" s="6" t="s">
        <v>2541</v>
      </c>
      <c r="K594" s="6" t="s">
        <v>3140</v>
      </c>
      <c r="L594" s="6" t="s">
        <v>3273</v>
      </c>
      <c r="M594" s="9" t="s">
        <v>3865</v>
      </c>
      <c r="N594" s="5" t="str">
        <f t="shared" ref="N594" si="582">TEXT(H594, "DD-MMM-YYY")</f>
        <v>11-May-1990</v>
      </c>
      <c r="O594" s="6" t="s">
        <v>3883</v>
      </c>
    </row>
    <row r="595" spans="1:15" x14ac:dyDescent="0.35">
      <c r="A595" s="3" t="s">
        <v>274</v>
      </c>
      <c r="B595" s="3" t="s">
        <v>236</v>
      </c>
      <c r="C595" s="3" t="s">
        <v>164</v>
      </c>
      <c r="D595" s="3" t="s">
        <v>138</v>
      </c>
      <c r="E595" s="3" t="s">
        <v>139</v>
      </c>
      <c r="F595" s="3" t="s">
        <v>1383</v>
      </c>
      <c r="G595" s="3" t="s">
        <v>1384</v>
      </c>
      <c r="H595" s="4">
        <v>33435</v>
      </c>
      <c r="I595" s="6" t="s">
        <v>2366</v>
      </c>
      <c r="J595" s="6" t="s">
        <v>1546</v>
      </c>
      <c r="K595" s="6" t="s">
        <v>3141</v>
      </c>
      <c r="L595" s="6" t="s">
        <v>3274</v>
      </c>
      <c r="M595" s="9" t="s">
        <v>3866</v>
      </c>
      <c r="N595" s="5" t="str">
        <f t="shared" ref="N595" si="583">TEXT(H595,"DD-MMM-YYY")</f>
        <v>16-Jul-1991</v>
      </c>
      <c r="O595" s="6" t="s">
        <v>3884</v>
      </c>
    </row>
    <row r="596" spans="1:15" x14ac:dyDescent="0.35">
      <c r="A596" s="3" t="s">
        <v>277</v>
      </c>
      <c r="B596" s="3" t="s">
        <v>240</v>
      </c>
      <c r="C596" s="3" t="s">
        <v>19</v>
      </c>
      <c r="D596" s="3" t="s">
        <v>145</v>
      </c>
      <c r="E596" s="3" t="s">
        <v>146</v>
      </c>
      <c r="F596" s="3" t="s">
        <v>1385</v>
      </c>
      <c r="G596" s="3" t="s">
        <v>1386</v>
      </c>
      <c r="H596" s="4">
        <v>33868</v>
      </c>
      <c r="I596" s="6" t="s">
        <v>2367</v>
      </c>
      <c r="J596" s="6" t="s">
        <v>2542</v>
      </c>
      <c r="K596" s="6" t="s">
        <v>3142</v>
      </c>
      <c r="L596" s="6" t="s">
        <v>3275</v>
      </c>
      <c r="M596" s="9" t="s">
        <v>3867</v>
      </c>
      <c r="N596" s="5" t="str">
        <f t="shared" ref="N596" si="584">TEXT(H596, "DD-MMM-YYY")</f>
        <v>21-Sept-1992</v>
      </c>
      <c r="O596" s="6" t="s">
        <v>30</v>
      </c>
    </row>
    <row r="597" spans="1:15" x14ac:dyDescent="0.35">
      <c r="A597" s="3" t="s">
        <v>280</v>
      </c>
      <c r="B597" s="3" t="s">
        <v>244</v>
      </c>
      <c r="C597" s="3" t="s">
        <v>33</v>
      </c>
      <c r="D597" s="3" t="s">
        <v>152</v>
      </c>
      <c r="E597" s="3" t="s">
        <v>153</v>
      </c>
      <c r="F597" s="3" t="s">
        <v>1387</v>
      </c>
      <c r="G597" s="3" t="s">
        <v>1388</v>
      </c>
      <c r="H597" s="4">
        <v>34299</v>
      </c>
      <c r="I597" s="6" t="s">
        <v>2368</v>
      </c>
      <c r="J597" s="6" t="s">
        <v>2543</v>
      </c>
      <c r="K597" s="6" t="s">
        <v>3143</v>
      </c>
      <c r="L597" s="6" t="s">
        <v>3276</v>
      </c>
      <c r="M597" s="9" t="s">
        <v>3868</v>
      </c>
      <c r="N597" s="5" t="str">
        <f t="shared" ref="N597" si="585">TEXT(H597,"DD-MMM-YYY")</f>
        <v>26-Nov-1993</v>
      </c>
      <c r="O597" s="6" t="s">
        <v>44</v>
      </c>
    </row>
    <row r="598" spans="1:15" x14ac:dyDescent="0.35">
      <c r="A598" s="3" t="s">
        <v>283</v>
      </c>
      <c r="B598" s="3" t="s">
        <v>248</v>
      </c>
      <c r="C598" s="3" t="s">
        <v>47</v>
      </c>
      <c r="D598" s="3" t="s">
        <v>159</v>
      </c>
      <c r="E598" s="3" t="s">
        <v>77</v>
      </c>
      <c r="F598" s="3" t="s">
        <v>1389</v>
      </c>
      <c r="G598" s="3" t="s">
        <v>1390</v>
      </c>
      <c r="H598" s="4">
        <v>34337</v>
      </c>
      <c r="I598" s="6" t="s">
        <v>2369</v>
      </c>
      <c r="J598" s="6" t="s">
        <v>2544</v>
      </c>
      <c r="K598" s="6" t="s">
        <v>3144</v>
      </c>
      <c r="L598" s="6" t="s">
        <v>3277</v>
      </c>
      <c r="M598" s="9" t="s">
        <v>3869</v>
      </c>
      <c r="N598" s="5" t="str">
        <f t="shared" ref="N598" si="586">TEXT(H598, "DD-MMM-YYY")</f>
        <v>03-Jan-1994</v>
      </c>
      <c r="O598" s="6" t="s">
        <v>58</v>
      </c>
    </row>
    <row r="599" spans="1:15" x14ac:dyDescent="0.35">
      <c r="A599" s="3" t="s">
        <v>286</v>
      </c>
      <c r="B599" s="3" t="s">
        <v>252</v>
      </c>
      <c r="C599" s="3" t="s">
        <v>61</v>
      </c>
      <c r="D599" s="3" t="s">
        <v>165</v>
      </c>
      <c r="E599" s="3" t="s">
        <v>166</v>
      </c>
      <c r="F599" s="3" t="s">
        <v>1391</v>
      </c>
      <c r="G599" s="3" t="s">
        <v>1392</v>
      </c>
      <c r="H599" s="4">
        <v>34766</v>
      </c>
      <c r="I599" s="6" t="s">
        <v>2370</v>
      </c>
      <c r="J599" s="6" t="s">
        <v>2545</v>
      </c>
      <c r="K599" s="6" t="s">
        <v>3145</v>
      </c>
      <c r="L599" s="6" t="s">
        <v>3278</v>
      </c>
      <c r="M599" s="9" t="s">
        <v>3870</v>
      </c>
      <c r="N599" s="5" t="str">
        <f t="shared" ref="N599" si="587">TEXT(H599,"DD-MMM-YYY")</f>
        <v>08-Mar-1995</v>
      </c>
      <c r="O599" s="6" t="s">
        <v>72</v>
      </c>
    </row>
    <row r="600" spans="1:15" x14ac:dyDescent="0.35">
      <c r="A600" s="3" t="s">
        <v>289</v>
      </c>
      <c r="B600" s="3" t="s">
        <v>256</v>
      </c>
      <c r="C600" s="3" t="s">
        <v>75</v>
      </c>
      <c r="D600" s="3" t="s">
        <v>171</v>
      </c>
      <c r="E600" s="3" t="s">
        <v>172</v>
      </c>
      <c r="F600" s="3" t="s">
        <v>1393</v>
      </c>
      <c r="G600" s="3" t="s">
        <v>1394</v>
      </c>
      <c r="H600" s="4">
        <v>35198</v>
      </c>
      <c r="I600" s="6" t="s">
        <v>2371</v>
      </c>
      <c r="J600" s="6" t="s">
        <v>2546</v>
      </c>
      <c r="K600" s="6" t="s">
        <v>3146</v>
      </c>
      <c r="L600" s="6" t="s">
        <v>3262</v>
      </c>
      <c r="M600" s="9" t="s">
        <v>3871</v>
      </c>
      <c r="N600" s="5" t="str">
        <f t="shared" ref="N600" si="588">TEXT(H600, "DD-MMM-YYY")</f>
        <v>13-May-1996</v>
      </c>
      <c r="O600" s="6" t="s">
        <v>86</v>
      </c>
    </row>
    <row r="601" spans="1:15" x14ac:dyDescent="0.35">
      <c r="A601" s="3" t="s">
        <v>292</v>
      </c>
      <c r="B601" s="3" t="s">
        <v>260</v>
      </c>
      <c r="C601" s="3" t="s">
        <v>89</v>
      </c>
      <c r="D601" s="3" t="s">
        <v>162</v>
      </c>
      <c r="E601" s="3" t="s">
        <v>63</v>
      </c>
      <c r="F601" s="3" t="s">
        <v>1395</v>
      </c>
      <c r="G601" s="3" t="s">
        <v>1396</v>
      </c>
      <c r="H601" s="4">
        <v>35629</v>
      </c>
      <c r="I601" s="6" t="s">
        <v>2372</v>
      </c>
      <c r="J601" s="6" t="s">
        <v>2547</v>
      </c>
      <c r="K601" s="6" t="s">
        <v>3147</v>
      </c>
      <c r="L601" s="6" t="s">
        <v>3279</v>
      </c>
      <c r="M601" s="9" t="s">
        <v>3872</v>
      </c>
      <c r="N601" s="5" t="str">
        <f t="shared" ref="N601" si="589">TEXT(H601,"DD-MMM-YYY")</f>
        <v>18-Jul-1997</v>
      </c>
      <c r="O601" s="6" t="s">
        <v>100</v>
      </c>
    </row>
    <row r="602" spans="1:15" x14ac:dyDescent="0.35">
      <c r="A602" s="3" t="s">
        <v>295</v>
      </c>
      <c r="B602" s="3" t="s">
        <v>264</v>
      </c>
      <c r="C602" s="3" t="s">
        <v>103</v>
      </c>
      <c r="D602" s="3" t="s">
        <v>181</v>
      </c>
      <c r="E602" s="3" t="s">
        <v>182</v>
      </c>
      <c r="F602" s="3" t="s">
        <v>1397</v>
      </c>
      <c r="G602" s="3" t="s">
        <v>1398</v>
      </c>
      <c r="H602" s="4">
        <v>36061</v>
      </c>
      <c r="I602" s="6" t="s">
        <v>2373</v>
      </c>
      <c r="J602" s="6" t="s">
        <v>2548</v>
      </c>
      <c r="K602" s="6" t="s">
        <v>3148</v>
      </c>
      <c r="L602" s="6" t="s">
        <v>3280</v>
      </c>
      <c r="M602" s="9" t="s">
        <v>3873</v>
      </c>
      <c r="N602" s="5" t="str">
        <f t="shared" ref="N602" si="590">TEXT(H602, "DD-MMM-YYY")</f>
        <v>23-Sept-1998</v>
      </c>
      <c r="O602" s="6" t="s">
        <v>3875</v>
      </c>
    </row>
    <row r="603" spans="1:15" x14ac:dyDescent="0.35">
      <c r="A603" s="3" t="s">
        <v>298</v>
      </c>
      <c r="B603" s="3" t="s">
        <v>268</v>
      </c>
      <c r="C603" s="3" t="s">
        <v>110</v>
      </c>
      <c r="D603" s="3" t="s">
        <v>187</v>
      </c>
      <c r="E603" s="3" t="s">
        <v>188</v>
      </c>
      <c r="F603" s="3" t="s">
        <v>1399</v>
      </c>
      <c r="G603" s="3" t="s">
        <v>1400</v>
      </c>
      <c r="H603" s="4">
        <v>36492</v>
      </c>
      <c r="I603" s="6" t="s">
        <v>2374</v>
      </c>
      <c r="J603" s="6" t="s">
        <v>2549</v>
      </c>
      <c r="K603" s="6" t="s">
        <v>3149</v>
      </c>
      <c r="L603" s="6" t="s">
        <v>3189</v>
      </c>
      <c r="M603" s="9" t="s">
        <v>3874</v>
      </c>
      <c r="N603" s="5" t="str">
        <f t="shared" ref="N603" si="591">TEXT(H603,"DD-MMM-YYY")</f>
        <v>28-Nov-1999</v>
      </c>
      <c r="O603" s="6" t="s">
        <v>3876</v>
      </c>
    </row>
  </sheetData>
  <autoFilter ref="A2:O603" xr:uid="{00000000-0009-0000-0000-000001000000}"/>
  <mergeCells count="2">
    <mergeCell ref="A1:O1"/>
    <mergeCell ref="A3:O3"/>
  </mergeCells>
  <phoneticPr fontId="4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77"/>
  <sheetViews>
    <sheetView tabSelected="1" topLeftCell="C1" zoomScale="82" zoomScaleNormal="100" workbookViewId="0">
      <pane ySplit="3" topLeftCell="A4" activePane="bottomLeft" state="frozen"/>
      <selection pane="bottomLeft" activeCell="O10" sqref="O10"/>
    </sheetView>
  </sheetViews>
  <sheetFormatPr defaultRowHeight="14.5" x14ac:dyDescent="0.35"/>
  <cols>
    <col min="1" max="2" width="16" customWidth="1"/>
    <col min="3" max="3" width="12" customWidth="1"/>
    <col min="4" max="4" width="8" customWidth="1"/>
    <col min="5" max="5" width="18.453125" bestFit="1" customWidth="1"/>
    <col min="6" max="6" width="20" customWidth="1"/>
    <col min="7" max="7" width="18" customWidth="1"/>
    <col min="8" max="8" width="14.453125" style="7" bestFit="1" customWidth="1"/>
    <col min="9" max="9" width="13.54296875" style="7" bestFit="1" customWidth="1"/>
    <col min="10" max="10" width="13.6328125" bestFit="1" customWidth="1"/>
    <col min="11" max="11" width="22" customWidth="1"/>
    <col min="12" max="12" width="15.08984375" customWidth="1"/>
    <col min="13" max="13" width="16" customWidth="1"/>
    <col min="14" max="14" width="12" customWidth="1"/>
    <col min="15" max="15" width="16" customWidth="1"/>
  </cols>
  <sheetData>
    <row r="1" spans="1:15" ht="24" customHeight="1" x14ac:dyDescent="0.35">
      <c r="A1" s="10" t="s">
        <v>1401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5">
      <c r="A2" s="12" t="s">
        <v>1417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35">
      <c r="A3" s="1" t="s">
        <v>1402</v>
      </c>
      <c r="B3" s="1" t="s">
        <v>1403</v>
      </c>
      <c r="C3" s="1" t="s">
        <v>1404</v>
      </c>
      <c r="D3" s="1" t="s">
        <v>1405</v>
      </c>
      <c r="E3" s="1" t="s">
        <v>1406</v>
      </c>
      <c r="F3" s="1" t="s">
        <v>1407</v>
      </c>
      <c r="G3" s="1" t="s">
        <v>1408</v>
      </c>
      <c r="H3" s="8" t="s">
        <v>1409</v>
      </c>
      <c r="I3" s="8" t="s">
        <v>1410</v>
      </c>
      <c r="J3" s="2" t="s">
        <v>1411</v>
      </c>
      <c r="K3" s="2" t="s">
        <v>1412</v>
      </c>
      <c r="L3" s="2" t="s">
        <v>1413</v>
      </c>
      <c r="M3" s="2" t="s">
        <v>1414</v>
      </c>
      <c r="N3" s="2" t="s">
        <v>1415</v>
      </c>
      <c r="O3" s="2" t="s">
        <v>1416</v>
      </c>
    </row>
    <row r="4" spans="1:15" x14ac:dyDescent="0.35">
      <c r="A4" s="3" t="s">
        <v>1418</v>
      </c>
      <c r="B4" s="3" t="s">
        <v>1419</v>
      </c>
      <c r="C4" s="3" t="s">
        <v>18</v>
      </c>
      <c r="D4" s="3" t="s">
        <v>1420</v>
      </c>
      <c r="E4" s="3" t="s">
        <v>1421</v>
      </c>
      <c r="F4" t="s">
        <v>1422</v>
      </c>
      <c r="G4" t="s">
        <v>1423</v>
      </c>
      <c r="H4" s="7">
        <v>46023</v>
      </c>
      <c r="I4" s="7">
        <v>46026</v>
      </c>
      <c r="J4" t="s">
        <v>1424</v>
      </c>
      <c r="K4" t="s">
        <v>1425</v>
      </c>
      <c r="L4" t="s">
        <v>59</v>
      </c>
      <c r="M4" t="s">
        <v>1426</v>
      </c>
      <c r="N4" t="s">
        <v>1427</v>
      </c>
      <c r="O4" t="s">
        <v>1428</v>
      </c>
    </row>
    <row r="5" spans="1:15" x14ac:dyDescent="0.35">
      <c r="A5" s="3" t="s">
        <v>1429</v>
      </c>
      <c r="B5" s="3" t="s">
        <v>1430</v>
      </c>
      <c r="C5" s="3" t="s">
        <v>1431</v>
      </c>
      <c r="D5" s="3" t="s">
        <v>1432</v>
      </c>
      <c r="E5" s="3" t="s">
        <v>1433</v>
      </c>
      <c r="F5" t="s">
        <v>1434</v>
      </c>
      <c r="G5" t="s">
        <v>1435</v>
      </c>
      <c r="H5" s="7">
        <v>46118</v>
      </c>
      <c r="I5" s="7">
        <v>46124</v>
      </c>
      <c r="J5" t="s">
        <v>1436</v>
      </c>
      <c r="K5" t="s">
        <v>1437</v>
      </c>
      <c r="L5" t="s">
        <v>108</v>
      </c>
      <c r="M5" t="s">
        <v>1438</v>
      </c>
      <c r="N5" t="s">
        <v>1439</v>
      </c>
      <c r="O5" t="s">
        <v>1440</v>
      </c>
    </row>
    <row r="6" spans="1:15" x14ac:dyDescent="0.35">
      <c r="A6" s="3" t="s">
        <v>1441</v>
      </c>
      <c r="B6" s="3" t="s">
        <v>1442</v>
      </c>
      <c r="C6" s="3" t="s">
        <v>18</v>
      </c>
      <c r="D6" s="3" t="s">
        <v>1443</v>
      </c>
      <c r="E6" s="3" t="s">
        <v>1444</v>
      </c>
      <c r="F6" t="s">
        <v>1445</v>
      </c>
      <c r="G6" t="s">
        <v>1446</v>
      </c>
      <c r="H6" s="7">
        <v>46214</v>
      </c>
      <c r="I6" s="7">
        <v>46223</v>
      </c>
      <c r="J6" t="s">
        <v>1447</v>
      </c>
      <c r="K6" t="s">
        <v>1448</v>
      </c>
      <c r="L6" t="s">
        <v>135</v>
      </c>
      <c r="M6" t="s">
        <v>1449</v>
      </c>
      <c r="N6" t="s">
        <v>1450</v>
      </c>
      <c r="O6" t="s">
        <v>1451</v>
      </c>
    </row>
    <row r="7" spans="1:15" x14ac:dyDescent="0.35">
      <c r="A7" s="3" t="s">
        <v>1452</v>
      </c>
      <c r="B7" s="3" t="s">
        <v>1453</v>
      </c>
      <c r="C7" s="3" t="s">
        <v>1431</v>
      </c>
      <c r="D7" s="3" t="s">
        <v>1454</v>
      </c>
      <c r="E7" s="3" t="s">
        <v>1455</v>
      </c>
      <c r="F7" t="s">
        <v>1456</v>
      </c>
      <c r="G7" t="s">
        <v>1457</v>
      </c>
      <c r="H7" s="7">
        <v>46311</v>
      </c>
      <c r="I7" s="7">
        <v>46323</v>
      </c>
      <c r="J7" t="s">
        <v>1458</v>
      </c>
      <c r="K7" t="s">
        <v>1459</v>
      </c>
      <c r="L7" t="s">
        <v>162</v>
      </c>
      <c r="M7" t="s">
        <v>1460</v>
      </c>
      <c r="N7" t="s">
        <v>1461</v>
      </c>
      <c r="O7" t="s">
        <v>1462</v>
      </c>
    </row>
    <row r="8" spans="1:15" x14ac:dyDescent="0.35">
      <c r="A8" s="3" t="s">
        <v>1463</v>
      </c>
      <c r="B8" s="3" t="s">
        <v>1464</v>
      </c>
      <c r="C8" s="3" t="s">
        <v>18</v>
      </c>
      <c r="D8" s="3" t="s">
        <v>1465</v>
      </c>
      <c r="E8" s="3" t="s">
        <v>1466</v>
      </c>
      <c r="F8" t="s">
        <v>1467</v>
      </c>
      <c r="G8" t="s">
        <v>1468</v>
      </c>
      <c r="H8" s="7">
        <v>46043</v>
      </c>
      <c r="I8" s="7">
        <v>46058</v>
      </c>
      <c r="J8" t="s">
        <v>1469</v>
      </c>
      <c r="K8" t="s">
        <v>1470</v>
      </c>
      <c r="L8" t="s">
        <v>185</v>
      </c>
      <c r="M8" t="s">
        <v>1471</v>
      </c>
      <c r="N8" t="s">
        <v>1427</v>
      </c>
      <c r="O8" t="s">
        <v>1472</v>
      </c>
    </row>
    <row r="9" spans="1:15" x14ac:dyDescent="0.35">
      <c r="A9" s="3" t="s">
        <v>1473</v>
      </c>
      <c r="B9" s="3" t="s">
        <v>1474</v>
      </c>
      <c r="C9" s="3" t="s">
        <v>1431</v>
      </c>
      <c r="D9" s="3" t="s">
        <v>1420</v>
      </c>
      <c r="E9" s="3" t="s">
        <v>1475</v>
      </c>
      <c r="F9" t="s">
        <v>1476</v>
      </c>
      <c r="G9" t="s">
        <v>1477</v>
      </c>
      <c r="H9" s="7">
        <v>46138</v>
      </c>
      <c r="I9" s="7">
        <v>46156</v>
      </c>
      <c r="J9" t="s">
        <v>1478</v>
      </c>
      <c r="K9" t="s">
        <v>1479</v>
      </c>
      <c r="L9" t="s">
        <v>203</v>
      </c>
      <c r="M9" t="s">
        <v>1480</v>
      </c>
      <c r="N9" t="s">
        <v>1439</v>
      </c>
      <c r="O9" t="s">
        <v>1481</v>
      </c>
    </row>
    <row r="10" spans="1:15" x14ac:dyDescent="0.35">
      <c r="A10" s="3" t="s">
        <v>1482</v>
      </c>
      <c r="B10" s="3" t="s">
        <v>1419</v>
      </c>
      <c r="C10" s="3" t="s">
        <v>18</v>
      </c>
      <c r="D10" s="3" t="s">
        <v>1432</v>
      </c>
      <c r="E10" s="3" t="s">
        <v>1483</v>
      </c>
      <c r="F10" t="s">
        <v>1484</v>
      </c>
      <c r="G10" t="s">
        <v>1485</v>
      </c>
      <c r="H10" s="7">
        <v>46206</v>
      </c>
      <c r="I10" s="7">
        <v>46227</v>
      </c>
      <c r="J10" t="s">
        <v>2550</v>
      </c>
      <c r="K10" t="str">
        <f>C10 &amp; " " &amp; B10 &amp; " (" &amp; D10 &amp; ")"</f>
        <v>White Tablet (XL)</v>
      </c>
      <c r="L10" t="str">
        <f>REPLACE(F10, 1, FIND(", ", F10) + 1, "")</f>
        <v>Mateo</v>
      </c>
      <c r="M10" t="str">
        <f>SUBSTITUTE(Table1[[#This Row],[Raw_Address]], ", ", " - ")</f>
        <v>Minneapolis - MN</v>
      </c>
      <c r="N10" t="str">
        <f>"Q" &amp; ROUNDUP(MONTH(H10)/3, 0) &amp; "-" &amp; YEAR(H10)</f>
        <v>Q3-2026</v>
      </c>
      <c r="O10" t="str">
        <f>"INV/" &amp; RIGHT(A10, 5) &amp; "/" &amp; UPPER(TEXT(H10, "mmm"))</f>
        <v>INV/00007/JUL</v>
      </c>
    </row>
    <row r="11" spans="1:15" x14ac:dyDescent="0.35">
      <c r="A11" s="3" t="s">
        <v>1486</v>
      </c>
      <c r="B11" s="3" t="s">
        <v>1430</v>
      </c>
      <c r="C11" s="3" t="s">
        <v>1431</v>
      </c>
      <c r="D11" s="3" t="s">
        <v>1443</v>
      </c>
      <c r="E11" s="3" t="s">
        <v>1487</v>
      </c>
      <c r="F11" t="s">
        <v>1488</v>
      </c>
      <c r="G11" t="s">
        <v>1489</v>
      </c>
      <c r="H11" s="7">
        <v>46303</v>
      </c>
      <c r="I11" s="7">
        <v>46327</v>
      </c>
      <c r="J11" t="s">
        <v>2551</v>
      </c>
      <c r="K11" t="str">
        <f>C11 &amp; " " &amp; B11 &amp; " (" &amp; D11 &amp; ")"</f>
        <v>Gold Mouse (S)</v>
      </c>
      <c r="L11" t="str">
        <f t="shared" ref="L11:L74" si="0">REPLACE(F11, 1, FIND(", ", F11) + 1, "")</f>
        <v>Sana</v>
      </c>
      <c r="M11" t="str">
        <f>SUBSTITUTE(Table1[[#This Row],[Raw_Address]], ", ", " - ")</f>
        <v>Atlanta - GA</v>
      </c>
      <c r="N11" t="str">
        <f t="shared" ref="N11:N74" si="1">"Q" &amp; ROUNDUP(MONTH(H11)/3, 0) &amp; "-" &amp; YEAR(H11)</f>
        <v>Q4-2026</v>
      </c>
      <c r="O11" t="str">
        <f t="shared" ref="O11:O74" si="2">"INV/" &amp; RIGHT(A11, 5) &amp; "/" &amp; UPPER(TEXT(H11, "mmm"))</f>
        <v>INV/00008/OCT</v>
      </c>
    </row>
    <row r="12" spans="1:15" x14ac:dyDescent="0.35">
      <c r="A12" s="3" t="s">
        <v>1490</v>
      </c>
      <c r="B12" s="3" t="s">
        <v>1442</v>
      </c>
      <c r="C12" s="3" t="s">
        <v>18</v>
      </c>
      <c r="D12" s="3" t="s">
        <v>1454</v>
      </c>
      <c r="E12" s="3" t="s">
        <v>1491</v>
      </c>
      <c r="F12" t="s">
        <v>1492</v>
      </c>
      <c r="G12" t="s">
        <v>1493</v>
      </c>
      <c r="H12" s="7">
        <v>46035</v>
      </c>
      <c r="I12" s="7">
        <v>46062</v>
      </c>
      <c r="J12" t="s">
        <v>2552</v>
      </c>
      <c r="K12" t="str">
        <f t="shared" ref="K12:K75" si="3">C12 &amp; " " &amp; B12 &amp; " (" &amp; D12 &amp; ")"</f>
        <v>White Camera (L)</v>
      </c>
      <c r="L12" t="str">
        <f t="shared" si="0"/>
        <v>Omar</v>
      </c>
      <c r="M12" t="str">
        <f>SUBSTITUTE(Table1[[#This Row],[Raw_Address]], ", ", " - ")</f>
        <v>Tampa - FL</v>
      </c>
      <c r="N12" t="str">
        <f t="shared" si="1"/>
        <v>Q1-2026</v>
      </c>
      <c r="O12" t="str">
        <f t="shared" si="2"/>
        <v>INV/00009/JAN</v>
      </c>
    </row>
    <row r="13" spans="1:15" x14ac:dyDescent="0.35">
      <c r="A13" s="3" t="s">
        <v>1494</v>
      </c>
      <c r="B13" s="3" t="s">
        <v>1453</v>
      </c>
      <c r="C13" s="3" t="s">
        <v>1431</v>
      </c>
      <c r="D13" s="3" t="s">
        <v>1465</v>
      </c>
      <c r="E13" s="3" t="s">
        <v>1495</v>
      </c>
      <c r="F13" t="s">
        <v>1496</v>
      </c>
      <c r="G13" t="s">
        <v>1497</v>
      </c>
      <c r="H13" s="7">
        <v>46130</v>
      </c>
      <c r="I13" s="7">
        <v>46160</v>
      </c>
      <c r="J13" t="s">
        <v>2553</v>
      </c>
      <c r="K13" t="str">
        <f t="shared" si="3"/>
        <v>Gold Desk Lamp (XS)</v>
      </c>
      <c r="L13" t="str">
        <f t="shared" si="0"/>
        <v>Nina</v>
      </c>
      <c r="M13" t="str">
        <f>SUBSTITUTE(Table1[[#This Row],[Raw_Address]], ", ", " - ")</f>
        <v>Phoenix - AZ</v>
      </c>
      <c r="N13" t="str">
        <f t="shared" si="1"/>
        <v>Q2-2026</v>
      </c>
      <c r="O13" t="str">
        <f t="shared" si="2"/>
        <v>INV/00010/APR</v>
      </c>
    </row>
    <row r="14" spans="1:15" x14ac:dyDescent="0.35">
      <c r="A14" s="3" t="s">
        <v>1498</v>
      </c>
      <c r="B14" s="3" t="s">
        <v>1464</v>
      </c>
      <c r="C14" s="3" t="s">
        <v>18</v>
      </c>
      <c r="D14" s="3" t="s">
        <v>1420</v>
      </c>
      <c r="E14" s="3" t="s">
        <v>1499</v>
      </c>
      <c r="F14" t="s">
        <v>1500</v>
      </c>
      <c r="G14" t="s">
        <v>1501</v>
      </c>
      <c r="H14" s="7">
        <v>46226</v>
      </c>
      <c r="I14" s="7">
        <v>46229</v>
      </c>
      <c r="J14" t="s">
        <v>2554</v>
      </c>
      <c r="K14" t="str">
        <f t="shared" si="3"/>
        <v>White Notebook (M)</v>
      </c>
      <c r="L14" t="str">
        <f t="shared" si="0"/>
        <v>Jack</v>
      </c>
      <c r="M14" t="str">
        <f>SUBSTITUTE(Table1[[#This Row],[Raw_Address]], ", ", " - ")</f>
        <v>Raleigh - NC</v>
      </c>
      <c r="N14" t="str">
        <f t="shared" si="1"/>
        <v>Q3-2026</v>
      </c>
      <c r="O14" t="str">
        <f t="shared" si="2"/>
        <v>INV/00011/JUL</v>
      </c>
    </row>
    <row r="15" spans="1:15" x14ac:dyDescent="0.35">
      <c r="A15" s="3" t="s">
        <v>1502</v>
      </c>
      <c r="B15" s="3" t="s">
        <v>1474</v>
      </c>
      <c r="C15" s="3" t="s">
        <v>1431</v>
      </c>
      <c r="D15" s="3" t="s">
        <v>1432</v>
      </c>
      <c r="E15" s="3" t="s">
        <v>1503</v>
      </c>
      <c r="F15" t="s">
        <v>1504</v>
      </c>
      <c r="G15" t="s">
        <v>1505</v>
      </c>
      <c r="H15" s="7">
        <v>46323</v>
      </c>
      <c r="I15" s="7">
        <v>46329</v>
      </c>
      <c r="J15" t="s">
        <v>2555</v>
      </c>
      <c r="K15" t="str">
        <f t="shared" si="3"/>
        <v>Gold Power Bank (XL)</v>
      </c>
      <c r="L15" t="str">
        <f t="shared" si="0"/>
        <v>Victor</v>
      </c>
      <c r="M15" t="str">
        <f>SUBSTITUTE(Table1[[#This Row],[Raw_Address]], ", ", " - ")</f>
        <v>Miami - FL</v>
      </c>
      <c r="N15" t="str">
        <f t="shared" si="1"/>
        <v>Q4-2026</v>
      </c>
      <c r="O15" t="str">
        <f t="shared" si="2"/>
        <v>INV/00012/OCT</v>
      </c>
    </row>
    <row r="16" spans="1:15" x14ac:dyDescent="0.35">
      <c r="A16" s="3" t="s">
        <v>1506</v>
      </c>
      <c r="B16" s="3" t="s">
        <v>1419</v>
      </c>
      <c r="C16" s="3" t="s">
        <v>18</v>
      </c>
      <c r="D16" s="3" t="s">
        <v>1443</v>
      </c>
      <c r="E16" s="3" t="s">
        <v>1507</v>
      </c>
      <c r="F16" t="s">
        <v>1508</v>
      </c>
      <c r="G16" t="s">
        <v>1509</v>
      </c>
      <c r="H16" s="7">
        <v>46027</v>
      </c>
      <c r="I16" s="7">
        <v>46036</v>
      </c>
      <c r="J16" t="s">
        <v>2550</v>
      </c>
      <c r="K16" t="str">
        <f t="shared" si="3"/>
        <v>White Tablet (S)</v>
      </c>
      <c r="L16" t="str">
        <f t="shared" si="0"/>
        <v>Liam</v>
      </c>
      <c r="M16" t="str">
        <f>SUBSTITUTE(Table1[[#This Row],[Raw_Address]], ", ", " - ")</f>
        <v>Charlotte - NC</v>
      </c>
      <c r="N16" t="str">
        <f t="shared" si="1"/>
        <v>Q1-2026</v>
      </c>
      <c r="O16" t="str">
        <f t="shared" si="2"/>
        <v>INV/00013/JAN</v>
      </c>
    </row>
    <row r="17" spans="1:15" x14ac:dyDescent="0.35">
      <c r="A17" s="3" t="s">
        <v>1510</v>
      </c>
      <c r="B17" s="3" t="s">
        <v>1430</v>
      </c>
      <c r="C17" s="3" t="s">
        <v>1431</v>
      </c>
      <c r="D17" s="3" t="s">
        <v>1454</v>
      </c>
      <c r="E17" s="3" t="s">
        <v>1511</v>
      </c>
      <c r="F17" t="s">
        <v>1512</v>
      </c>
      <c r="G17" t="s">
        <v>1513</v>
      </c>
      <c r="H17" s="7">
        <v>46122</v>
      </c>
      <c r="I17" s="7">
        <v>46134</v>
      </c>
      <c r="J17" t="s">
        <v>2551</v>
      </c>
      <c r="K17" t="str">
        <f t="shared" si="3"/>
        <v>Gold Mouse (L)</v>
      </c>
      <c r="L17" t="str">
        <f t="shared" si="0"/>
        <v>Elijah</v>
      </c>
      <c r="M17" t="str">
        <f>SUBSTITUTE(Table1[[#This Row],[Raw_Address]], ", ", " - ")</f>
        <v>Austin - TX</v>
      </c>
      <c r="N17" t="str">
        <f t="shared" si="1"/>
        <v>Q2-2026</v>
      </c>
      <c r="O17" t="str">
        <f t="shared" si="2"/>
        <v>INV/00014/APR</v>
      </c>
    </row>
    <row r="18" spans="1:15" x14ac:dyDescent="0.35">
      <c r="A18" s="3" t="s">
        <v>1514</v>
      </c>
      <c r="B18" s="3" t="s">
        <v>1442</v>
      </c>
      <c r="C18" s="3" t="s">
        <v>18</v>
      </c>
      <c r="D18" s="3" t="s">
        <v>1465</v>
      </c>
      <c r="E18" s="3" t="s">
        <v>1515</v>
      </c>
      <c r="F18" t="s">
        <v>1516</v>
      </c>
      <c r="G18" t="s">
        <v>1517</v>
      </c>
      <c r="H18" s="7">
        <v>46218</v>
      </c>
      <c r="I18" s="7">
        <v>46233</v>
      </c>
      <c r="J18" t="s">
        <v>2552</v>
      </c>
      <c r="K18" t="str">
        <f t="shared" si="3"/>
        <v>White Camera (XS)</v>
      </c>
      <c r="L18" t="str">
        <f t="shared" si="0"/>
        <v>Lucas</v>
      </c>
      <c r="M18" t="str">
        <f>SUBSTITUTE(Table1[[#This Row],[Raw_Address]], ", ", " - ")</f>
        <v>San Diego - CA</v>
      </c>
      <c r="N18" t="str">
        <f t="shared" si="1"/>
        <v>Q3-2026</v>
      </c>
      <c r="O18" t="str">
        <f t="shared" si="2"/>
        <v>INV/00015/JUL</v>
      </c>
    </row>
    <row r="19" spans="1:15" x14ac:dyDescent="0.35">
      <c r="A19" s="3" t="s">
        <v>1518</v>
      </c>
      <c r="B19" s="3" t="s">
        <v>1453</v>
      </c>
      <c r="C19" s="3" t="s">
        <v>1431</v>
      </c>
      <c r="D19" s="3" t="s">
        <v>1420</v>
      </c>
      <c r="E19" s="3" t="s">
        <v>1519</v>
      </c>
      <c r="F19" t="s">
        <v>1520</v>
      </c>
      <c r="G19" t="s">
        <v>1521</v>
      </c>
      <c r="H19" s="7">
        <v>46315</v>
      </c>
      <c r="I19" s="7">
        <v>46333</v>
      </c>
      <c r="J19" t="s">
        <v>2553</v>
      </c>
      <c r="K19" t="str">
        <f t="shared" si="3"/>
        <v>Gold Desk Lamp (M)</v>
      </c>
      <c r="L19" t="str">
        <f t="shared" si="0"/>
        <v>Ethan</v>
      </c>
      <c r="M19" t="str">
        <f>SUBSTITUTE(Table1[[#This Row],[Raw_Address]], ", ", " - ")</f>
        <v>Kansas City - MO</v>
      </c>
      <c r="N19" t="str">
        <f t="shared" si="1"/>
        <v>Q4-2026</v>
      </c>
      <c r="O19" t="str">
        <f t="shared" si="2"/>
        <v>INV/00016/OCT</v>
      </c>
    </row>
    <row r="20" spans="1:15" x14ac:dyDescent="0.35">
      <c r="A20" s="3" t="s">
        <v>1522</v>
      </c>
      <c r="B20" s="3" t="s">
        <v>1464</v>
      </c>
      <c r="C20" s="3" t="s">
        <v>18</v>
      </c>
      <c r="D20" s="3" t="s">
        <v>1432</v>
      </c>
      <c r="E20" s="3" t="s">
        <v>1523</v>
      </c>
      <c r="F20" t="s">
        <v>1524</v>
      </c>
      <c r="G20" t="s">
        <v>1525</v>
      </c>
      <c r="H20" s="7">
        <v>46047</v>
      </c>
      <c r="I20" s="7">
        <v>46068</v>
      </c>
      <c r="J20" t="s">
        <v>2554</v>
      </c>
      <c r="K20" t="str">
        <f t="shared" si="3"/>
        <v>White Notebook (XL)</v>
      </c>
      <c r="L20" t="str">
        <f t="shared" si="0"/>
        <v>Evelyn</v>
      </c>
      <c r="M20" t="str">
        <f>SUBSTITUTE(Table1[[#This Row],[Raw_Address]], ", ", " - ")</f>
        <v>Portland - OR</v>
      </c>
      <c r="N20" t="str">
        <f t="shared" si="1"/>
        <v>Q1-2026</v>
      </c>
      <c r="O20" t="str">
        <f t="shared" si="2"/>
        <v>INV/00017/JAN</v>
      </c>
    </row>
    <row r="21" spans="1:15" x14ac:dyDescent="0.35">
      <c r="A21" s="3" t="s">
        <v>1526</v>
      </c>
      <c r="B21" s="3" t="s">
        <v>1474</v>
      </c>
      <c r="C21" s="3" t="s">
        <v>1431</v>
      </c>
      <c r="D21" s="3" t="s">
        <v>1443</v>
      </c>
      <c r="E21" s="3" t="s">
        <v>1527</v>
      </c>
      <c r="F21" t="s">
        <v>1528</v>
      </c>
      <c r="G21" t="s">
        <v>1529</v>
      </c>
      <c r="H21" s="7">
        <v>46114</v>
      </c>
      <c r="I21" s="7">
        <v>46138</v>
      </c>
      <c r="J21" t="s">
        <v>2555</v>
      </c>
      <c r="K21" t="str">
        <f t="shared" si="3"/>
        <v>Gold Power Bank (S)</v>
      </c>
      <c r="L21" t="str">
        <f t="shared" si="0"/>
        <v>Scarlett</v>
      </c>
      <c r="M21" t="str">
        <f>SUBSTITUTE(Table1[[#This Row],[Raw_Address]], ", ", " - ")</f>
        <v>Las Vegas - NV</v>
      </c>
      <c r="N21" t="str">
        <f t="shared" si="1"/>
        <v>Q2-2026</v>
      </c>
      <c r="O21" t="str">
        <f t="shared" si="2"/>
        <v>INV/00018/APR</v>
      </c>
    </row>
    <row r="22" spans="1:15" x14ac:dyDescent="0.35">
      <c r="A22" s="3" t="s">
        <v>1530</v>
      </c>
      <c r="B22" s="3" t="s">
        <v>1419</v>
      </c>
      <c r="C22" s="3" t="s">
        <v>18</v>
      </c>
      <c r="D22" s="3" t="s">
        <v>1454</v>
      </c>
      <c r="E22" s="3" t="s">
        <v>1531</v>
      </c>
      <c r="F22" t="s">
        <v>1532</v>
      </c>
      <c r="G22" t="s">
        <v>1533</v>
      </c>
      <c r="H22" s="7">
        <v>46210</v>
      </c>
      <c r="I22" s="7">
        <v>46237</v>
      </c>
      <c r="J22" t="s">
        <v>2550</v>
      </c>
      <c r="K22" t="str">
        <f t="shared" si="3"/>
        <v>White Tablet (L)</v>
      </c>
      <c r="L22" t="str">
        <f t="shared" si="0"/>
        <v>Sofia</v>
      </c>
      <c r="M22" t="str">
        <f>SUBSTITUTE(Table1[[#This Row],[Raw_Address]], ", ", " - ")</f>
        <v>Chicago - IL</v>
      </c>
      <c r="N22" t="str">
        <f t="shared" si="1"/>
        <v>Q3-2026</v>
      </c>
      <c r="O22" t="str">
        <f t="shared" si="2"/>
        <v>INV/00019/JUL</v>
      </c>
    </row>
    <row r="23" spans="1:15" x14ac:dyDescent="0.35">
      <c r="A23" s="3" t="s">
        <v>1534</v>
      </c>
      <c r="B23" s="3" t="s">
        <v>1430</v>
      </c>
      <c r="C23" s="3" t="s">
        <v>1431</v>
      </c>
      <c r="D23" s="3" t="s">
        <v>1465</v>
      </c>
      <c r="E23" s="3" t="s">
        <v>1535</v>
      </c>
      <c r="F23" t="s">
        <v>1536</v>
      </c>
      <c r="G23" t="s">
        <v>1537</v>
      </c>
      <c r="H23" s="7">
        <v>46307</v>
      </c>
      <c r="I23" s="7">
        <v>46337</v>
      </c>
      <c r="J23" t="s">
        <v>2551</v>
      </c>
      <c r="K23" t="str">
        <f t="shared" si="3"/>
        <v>Gold Mouse (XS)</v>
      </c>
      <c r="L23" t="str">
        <f t="shared" si="0"/>
        <v>Priya</v>
      </c>
      <c r="M23" t="str">
        <f>SUBSTITUTE(Table1[[#This Row],[Raw_Address]], ", ", " - ")</f>
        <v>Detroit - MI</v>
      </c>
      <c r="N23" t="str">
        <f t="shared" si="1"/>
        <v>Q4-2026</v>
      </c>
      <c r="O23" t="str">
        <f t="shared" si="2"/>
        <v>INV/00020/OCT</v>
      </c>
    </row>
    <row r="24" spans="1:15" x14ac:dyDescent="0.35">
      <c r="A24" s="3" t="s">
        <v>1538</v>
      </c>
      <c r="B24" s="3" t="s">
        <v>1442</v>
      </c>
      <c r="C24" s="3" t="s">
        <v>18</v>
      </c>
      <c r="D24" s="3" t="s">
        <v>1420</v>
      </c>
      <c r="E24" s="3" t="s">
        <v>1539</v>
      </c>
      <c r="F24" t="s">
        <v>1540</v>
      </c>
      <c r="G24" t="s">
        <v>1423</v>
      </c>
      <c r="H24" s="7">
        <v>46039</v>
      </c>
      <c r="I24" s="7">
        <v>46042</v>
      </c>
      <c r="J24" t="s">
        <v>2552</v>
      </c>
      <c r="K24" t="str">
        <f t="shared" si="3"/>
        <v>White Camera (M)</v>
      </c>
      <c r="L24" t="str">
        <f t="shared" si="0"/>
        <v>Kabir</v>
      </c>
      <c r="M24" t="str">
        <f>SUBSTITUTE(Table1[[#This Row],[Raw_Address]], ", ", " - ")</f>
        <v>Boston - MA</v>
      </c>
      <c r="N24" t="str">
        <f t="shared" si="1"/>
        <v>Q1-2026</v>
      </c>
      <c r="O24" t="str">
        <f t="shared" si="2"/>
        <v>INV/00021/JAN</v>
      </c>
    </row>
    <row r="25" spans="1:15" x14ac:dyDescent="0.35">
      <c r="A25" s="3" t="s">
        <v>1541</v>
      </c>
      <c r="B25" s="3" t="s">
        <v>1453</v>
      </c>
      <c r="C25" s="3" t="s">
        <v>1431</v>
      </c>
      <c r="D25" s="3" t="s">
        <v>1432</v>
      </c>
      <c r="E25" s="3" t="s">
        <v>1542</v>
      </c>
      <c r="F25" t="s">
        <v>1543</v>
      </c>
      <c r="G25" t="s">
        <v>1435</v>
      </c>
      <c r="H25" s="7">
        <v>46134</v>
      </c>
      <c r="I25" s="7">
        <v>46140</v>
      </c>
      <c r="J25" t="s">
        <v>2553</v>
      </c>
      <c r="K25" t="str">
        <f t="shared" si="3"/>
        <v>Gold Desk Lamp (XL)</v>
      </c>
      <c r="L25" t="str">
        <f t="shared" si="0"/>
        <v>Fatima</v>
      </c>
      <c r="M25" t="str">
        <f>SUBSTITUTE(Table1[[#This Row],[Raw_Address]], ", ", " - ")</f>
        <v>Columbus - OH</v>
      </c>
      <c r="N25" t="str">
        <f t="shared" si="1"/>
        <v>Q2-2026</v>
      </c>
      <c r="O25" t="str">
        <f t="shared" si="2"/>
        <v>INV/00022/APR</v>
      </c>
    </row>
    <row r="26" spans="1:15" x14ac:dyDescent="0.35">
      <c r="A26" s="3" t="s">
        <v>1544</v>
      </c>
      <c r="B26" s="3" t="s">
        <v>1464</v>
      </c>
      <c r="C26" s="3" t="s">
        <v>18</v>
      </c>
      <c r="D26" s="3" t="s">
        <v>1443</v>
      </c>
      <c r="E26" s="3" t="s">
        <v>1545</v>
      </c>
      <c r="F26" t="s">
        <v>1546</v>
      </c>
      <c r="G26" t="s">
        <v>1446</v>
      </c>
      <c r="H26" s="7">
        <v>46230</v>
      </c>
      <c r="I26" s="7">
        <v>46239</v>
      </c>
      <c r="J26" t="s">
        <v>2554</v>
      </c>
      <c r="K26" t="str">
        <f t="shared" si="3"/>
        <v>White Notebook (S)</v>
      </c>
      <c r="L26" t="str">
        <f t="shared" si="0"/>
        <v>Grace</v>
      </c>
      <c r="M26" t="str">
        <f>SUBSTITUTE(Table1[[#This Row],[Raw_Address]], ", ", " - ")</f>
        <v>Denver - CO</v>
      </c>
      <c r="N26" t="str">
        <f t="shared" si="1"/>
        <v>Q3-2026</v>
      </c>
      <c r="O26" t="str">
        <f t="shared" si="2"/>
        <v>INV/00023/JUL</v>
      </c>
    </row>
    <row r="27" spans="1:15" x14ac:dyDescent="0.35">
      <c r="A27" s="3" t="s">
        <v>1547</v>
      </c>
      <c r="B27" s="3" t="s">
        <v>1474</v>
      </c>
      <c r="C27" s="3" t="s">
        <v>1431</v>
      </c>
      <c r="D27" s="3" t="s">
        <v>1454</v>
      </c>
      <c r="E27" s="3" t="s">
        <v>1548</v>
      </c>
      <c r="F27" t="s">
        <v>1549</v>
      </c>
      <c r="G27" t="s">
        <v>1457</v>
      </c>
      <c r="H27" s="7">
        <v>46299</v>
      </c>
      <c r="I27" s="7">
        <v>46311</v>
      </c>
      <c r="J27" t="s">
        <v>2555</v>
      </c>
      <c r="K27" t="str">
        <f t="shared" si="3"/>
        <v>Gold Power Bank (L)</v>
      </c>
      <c r="L27" t="str">
        <f t="shared" si="0"/>
        <v>David</v>
      </c>
      <c r="M27" t="str">
        <f>SUBSTITUTE(Table1[[#This Row],[Raw_Address]], ", ", " - ")</f>
        <v>Dallas - TX</v>
      </c>
      <c r="N27" t="str">
        <f t="shared" si="1"/>
        <v>Q4-2026</v>
      </c>
      <c r="O27" t="str">
        <f t="shared" si="2"/>
        <v>INV/00024/OCT</v>
      </c>
    </row>
    <row r="28" spans="1:15" x14ac:dyDescent="0.35">
      <c r="A28" s="3" t="s">
        <v>1550</v>
      </c>
      <c r="B28" s="3" t="s">
        <v>1419</v>
      </c>
      <c r="C28" s="3" t="s">
        <v>18</v>
      </c>
      <c r="D28" s="3" t="s">
        <v>1465</v>
      </c>
      <c r="E28" s="3" t="s">
        <v>1551</v>
      </c>
      <c r="F28" t="s">
        <v>1552</v>
      </c>
      <c r="G28" t="s">
        <v>1468</v>
      </c>
      <c r="H28" s="7">
        <v>46031</v>
      </c>
      <c r="I28" s="7">
        <v>46046</v>
      </c>
      <c r="J28" t="s">
        <v>2550</v>
      </c>
      <c r="K28" t="str">
        <f t="shared" si="3"/>
        <v>White Tablet (XS)</v>
      </c>
      <c r="L28" t="str">
        <f t="shared" si="0"/>
        <v>Anaya</v>
      </c>
      <c r="M28" t="str">
        <f>SUBSTITUTE(Table1[[#This Row],[Raw_Address]], ", ", " - ")</f>
        <v>Seattle - WA</v>
      </c>
      <c r="N28" t="str">
        <f t="shared" si="1"/>
        <v>Q1-2026</v>
      </c>
      <c r="O28" t="str">
        <f t="shared" si="2"/>
        <v>INV/00025/JAN</v>
      </c>
    </row>
    <row r="29" spans="1:15" x14ac:dyDescent="0.35">
      <c r="A29" s="3" t="s">
        <v>1553</v>
      </c>
      <c r="B29" s="3" t="s">
        <v>1430</v>
      </c>
      <c r="C29" s="3" t="s">
        <v>1431</v>
      </c>
      <c r="D29" s="3" t="s">
        <v>1420</v>
      </c>
      <c r="E29" s="3" t="s">
        <v>1554</v>
      </c>
      <c r="F29" t="s">
        <v>1555</v>
      </c>
      <c r="G29" t="s">
        <v>1477</v>
      </c>
      <c r="H29" s="7">
        <v>46126</v>
      </c>
      <c r="I29" s="7">
        <v>46144</v>
      </c>
      <c r="J29" t="s">
        <v>2551</v>
      </c>
      <c r="K29" t="str">
        <f t="shared" si="3"/>
        <v>Gold Mouse (M)</v>
      </c>
      <c r="L29" t="str">
        <f t="shared" si="0"/>
        <v>Emma</v>
      </c>
      <c r="M29" t="str">
        <f>SUBSTITUTE(Table1[[#This Row],[Raw_Address]], ", ", " - ")</f>
        <v>Nashville - TN</v>
      </c>
      <c r="N29" t="str">
        <f t="shared" si="1"/>
        <v>Q2-2026</v>
      </c>
      <c r="O29" t="str">
        <f t="shared" si="2"/>
        <v>INV/00026/APR</v>
      </c>
    </row>
    <row r="30" spans="1:15" x14ac:dyDescent="0.35">
      <c r="A30" s="3" t="s">
        <v>1556</v>
      </c>
      <c r="B30" s="3" t="s">
        <v>1442</v>
      </c>
      <c r="C30" s="3" t="s">
        <v>18</v>
      </c>
      <c r="D30" s="3" t="s">
        <v>1432</v>
      </c>
      <c r="E30" s="3" t="s">
        <v>1557</v>
      </c>
      <c r="F30" t="s">
        <v>1558</v>
      </c>
      <c r="G30" t="s">
        <v>1485</v>
      </c>
      <c r="H30" s="7">
        <v>46222</v>
      </c>
      <c r="I30" s="7">
        <v>46243</v>
      </c>
      <c r="J30" t="s">
        <v>2552</v>
      </c>
      <c r="K30" t="str">
        <f t="shared" si="3"/>
        <v>White Camera (XL)</v>
      </c>
      <c r="L30" t="str">
        <f t="shared" si="0"/>
        <v>Mason</v>
      </c>
      <c r="M30" t="str">
        <f>SUBSTITUTE(Table1[[#This Row],[Raw_Address]], ", ", " - ")</f>
        <v>Minneapolis - MN</v>
      </c>
      <c r="N30" t="str">
        <f t="shared" si="1"/>
        <v>Q3-2026</v>
      </c>
      <c r="O30" t="str">
        <f t="shared" si="2"/>
        <v>INV/00027/JUL</v>
      </c>
    </row>
    <row r="31" spans="1:15" x14ac:dyDescent="0.35">
      <c r="A31" s="3" t="s">
        <v>1559</v>
      </c>
      <c r="B31" s="3" t="s">
        <v>1453</v>
      </c>
      <c r="C31" s="3" t="s">
        <v>1431</v>
      </c>
      <c r="D31" s="3" t="s">
        <v>1443</v>
      </c>
      <c r="E31" s="3" t="s">
        <v>1560</v>
      </c>
      <c r="F31" t="s">
        <v>1561</v>
      </c>
      <c r="G31" t="s">
        <v>1489</v>
      </c>
      <c r="H31" s="7">
        <v>46319</v>
      </c>
      <c r="I31" s="7">
        <v>46343</v>
      </c>
      <c r="J31" t="s">
        <v>2553</v>
      </c>
      <c r="K31" t="str">
        <f t="shared" si="3"/>
        <v>Gold Desk Lamp (S)</v>
      </c>
      <c r="L31" t="str">
        <f t="shared" si="0"/>
        <v>Amelia</v>
      </c>
      <c r="M31" t="str">
        <f>SUBSTITUTE(Table1[[#This Row],[Raw_Address]], ", ", " - ")</f>
        <v>Atlanta - GA</v>
      </c>
      <c r="N31" t="str">
        <f t="shared" si="1"/>
        <v>Q4-2026</v>
      </c>
      <c r="O31" t="str">
        <f t="shared" si="2"/>
        <v>INV/00028/OCT</v>
      </c>
    </row>
    <row r="32" spans="1:15" x14ac:dyDescent="0.35">
      <c r="A32" s="3" t="s">
        <v>1562</v>
      </c>
      <c r="B32" s="3" t="s">
        <v>1464</v>
      </c>
      <c r="C32" s="3" t="s">
        <v>18</v>
      </c>
      <c r="D32" s="3" t="s">
        <v>1454</v>
      </c>
      <c r="E32" s="3" t="s">
        <v>1563</v>
      </c>
      <c r="F32" t="s">
        <v>1564</v>
      </c>
      <c r="G32" t="s">
        <v>1493</v>
      </c>
      <c r="H32" s="7">
        <v>46023</v>
      </c>
      <c r="I32" s="7">
        <v>46050</v>
      </c>
      <c r="J32" t="s">
        <v>2554</v>
      </c>
      <c r="K32" t="str">
        <f t="shared" si="3"/>
        <v>White Notebook (L)</v>
      </c>
      <c r="L32" t="str">
        <f t="shared" si="0"/>
        <v>Charlotte</v>
      </c>
      <c r="M32" t="str">
        <f>SUBSTITUTE(Table1[[#This Row],[Raw_Address]], ", ", " - ")</f>
        <v>Tampa - FL</v>
      </c>
      <c r="N32" t="str">
        <f t="shared" si="1"/>
        <v>Q1-2026</v>
      </c>
      <c r="O32" t="str">
        <f t="shared" si="2"/>
        <v>INV/00029/JAN</v>
      </c>
    </row>
    <row r="33" spans="1:15" x14ac:dyDescent="0.35">
      <c r="A33" s="3" t="s">
        <v>1565</v>
      </c>
      <c r="B33" s="3" t="s">
        <v>1474</v>
      </c>
      <c r="C33" s="3" t="s">
        <v>1431</v>
      </c>
      <c r="D33" s="3" t="s">
        <v>1465</v>
      </c>
      <c r="E33" s="3" t="s">
        <v>1566</v>
      </c>
      <c r="F33" t="s">
        <v>1567</v>
      </c>
      <c r="G33" t="s">
        <v>1497</v>
      </c>
      <c r="H33" s="7">
        <v>46118</v>
      </c>
      <c r="I33" s="7">
        <v>46148</v>
      </c>
      <c r="J33" t="s">
        <v>2555</v>
      </c>
      <c r="K33" t="str">
        <f t="shared" si="3"/>
        <v>Gold Power Bank (XS)</v>
      </c>
      <c r="L33" t="str">
        <f t="shared" si="0"/>
        <v>Henry</v>
      </c>
      <c r="M33" t="str">
        <f>SUBSTITUTE(Table1[[#This Row],[Raw_Address]], ", ", " - ")</f>
        <v>Phoenix - AZ</v>
      </c>
      <c r="N33" t="str">
        <f t="shared" si="1"/>
        <v>Q2-2026</v>
      </c>
      <c r="O33" t="str">
        <f t="shared" si="2"/>
        <v>INV/00030/APR</v>
      </c>
    </row>
    <row r="34" spans="1:15" x14ac:dyDescent="0.35">
      <c r="A34" s="3" t="s">
        <v>1568</v>
      </c>
      <c r="B34" s="3" t="s">
        <v>1419</v>
      </c>
      <c r="C34" s="3" t="s">
        <v>18</v>
      </c>
      <c r="D34" s="3" t="s">
        <v>1420</v>
      </c>
      <c r="E34" s="3" t="s">
        <v>1421</v>
      </c>
      <c r="F34" t="s">
        <v>1569</v>
      </c>
      <c r="G34" t="s">
        <v>1501</v>
      </c>
      <c r="H34" s="7">
        <v>46214</v>
      </c>
      <c r="I34" s="7">
        <v>46217</v>
      </c>
      <c r="J34" t="s">
        <v>2550</v>
      </c>
      <c r="K34" t="str">
        <f t="shared" si="3"/>
        <v>White Tablet (M)</v>
      </c>
      <c r="L34" t="str">
        <f t="shared" si="0"/>
        <v>Michael</v>
      </c>
      <c r="M34" t="str">
        <f>SUBSTITUTE(Table1[[#This Row],[Raw_Address]], ", ", " - ")</f>
        <v>Raleigh - NC</v>
      </c>
      <c r="N34" t="str">
        <f t="shared" si="1"/>
        <v>Q3-2026</v>
      </c>
      <c r="O34" t="str">
        <f t="shared" si="2"/>
        <v>INV/00031/JUL</v>
      </c>
    </row>
    <row r="35" spans="1:15" x14ac:dyDescent="0.35">
      <c r="A35" s="3" t="s">
        <v>1570</v>
      </c>
      <c r="B35" s="3" t="s">
        <v>1430</v>
      </c>
      <c r="C35" s="3" t="s">
        <v>1431</v>
      </c>
      <c r="D35" s="3" t="s">
        <v>1432</v>
      </c>
      <c r="E35" s="3" t="s">
        <v>1433</v>
      </c>
      <c r="F35" t="s">
        <v>1571</v>
      </c>
      <c r="G35" t="s">
        <v>1505</v>
      </c>
      <c r="H35" s="7">
        <v>46311</v>
      </c>
      <c r="I35" s="7">
        <v>46317</v>
      </c>
      <c r="J35" t="s">
        <v>2551</v>
      </c>
      <c r="K35" t="str">
        <f t="shared" si="3"/>
        <v>Gold Mouse (XL)</v>
      </c>
      <c r="L35" t="str">
        <f t="shared" si="0"/>
        <v>Mateo</v>
      </c>
      <c r="M35" t="str">
        <f>SUBSTITUTE(Table1[[#This Row],[Raw_Address]], ", ", " - ")</f>
        <v>Miami - FL</v>
      </c>
      <c r="N35" t="str">
        <f t="shared" si="1"/>
        <v>Q4-2026</v>
      </c>
      <c r="O35" t="str">
        <f t="shared" si="2"/>
        <v>INV/00032/OCT</v>
      </c>
    </row>
    <row r="36" spans="1:15" x14ac:dyDescent="0.35">
      <c r="A36" s="3" t="s">
        <v>1572</v>
      </c>
      <c r="B36" s="3" t="s">
        <v>1442</v>
      </c>
      <c r="C36" s="3" t="s">
        <v>18</v>
      </c>
      <c r="D36" s="3" t="s">
        <v>1443</v>
      </c>
      <c r="E36" s="3" t="s">
        <v>1444</v>
      </c>
      <c r="F36" t="s">
        <v>1573</v>
      </c>
      <c r="G36" t="s">
        <v>1509</v>
      </c>
      <c r="H36" s="7">
        <v>46043</v>
      </c>
      <c r="I36" s="7">
        <v>46052</v>
      </c>
      <c r="J36" t="s">
        <v>2552</v>
      </c>
      <c r="K36" t="str">
        <f t="shared" si="3"/>
        <v>White Camera (S)</v>
      </c>
      <c r="L36" t="str">
        <f t="shared" si="0"/>
        <v>Sana</v>
      </c>
      <c r="M36" t="str">
        <f>SUBSTITUTE(Table1[[#This Row],[Raw_Address]], ", ", " - ")</f>
        <v>Charlotte - NC</v>
      </c>
      <c r="N36" t="str">
        <f t="shared" si="1"/>
        <v>Q1-2026</v>
      </c>
      <c r="O36" t="str">
        <f t="shared" si="2"/>
        <v>INV/00033/JAN</v>
      </c>
    </row>
    <row r="37" spans="1:15" x14ac:dyDescent="0.35">
      <c r="A37" s="3" t="s">
        <v>1574</v>
      </c>
      <c r="B37" s="3" t="s">
        <v>1453</v>
      </c>
      <c r="C37" s="3" t="s">
        <v>1431</v>
      </c>
      <c r="D37" s="3" t="s">
        <v>1454</v>
      </c>
      <c r="E37" s="3" t="s">
        <v>1455</v>
      </c>
      <c r="F37" t="s">
        <v>1575</v>
      </c>
      <c r="G37" t="s">
        <v>1513</v>
      </c>
      <c r="H37" s="7">
        <v>46138</v>
      </c>
      <c r="I37" s="7">
        <v>46150</v>
      </c>
      <c r="J37" t="s">
        <v>2553</v>
      </c>
      <c r="K37" t="str">
        <f t="shared" si="3"/>
        <v>Gold Desk Lamp (L)</v>
      </c>
      <c r="L37" t="str">
        <f t="shared" si="0"/>
        <v>Omar</v>
      </c>
      <c r="M37" t="str">
        <f>SUBSTITUTE(Table1[[#This Row],[Raw_Address]], ", ", " - ")</f>
        <v>Austin - TX</v>
      </c>
      <c r="N37" t="str">
        <f t="shared" si="1"/>
        <v>Q2-2026</v>
      </c>
      <c r="O37" t="str">
        <f t="shared" si="2"/>
        <v>INV/00034/APR</v>
      </c>
    </row>
    <row r="38" spans="1:15" x14ac:dyDescent="0.35">
      <c r="A38" s="3" t="s">
        <v>1576</v>
      </c>
      <c r="B38" s="3" t="s">
        <v>1464</v>
      </c>
      <c r="C38" s="3" t="s">
        <v>18</v>
      </c>
      <c r="D38" s="3" t="s">
        <v>1465</v>
      </c>
      <c r="E38" s="3" t="s">
        <v>1466</v>
      </c>
      <c r="F38" t="s">
        <v>1577</v>
      </c>
      <c r="G38" t="s">
        <v>1517</v>
      </c>
      <c r="H38" s="7">
        <v>46206</v>
      </c>
      <c r="I38" s="7">
        <v>46221</v>
      </c>
      <c r="J38" t="s">
        <v>2554</v>
      </c>
      <c r="K38" t="str">
        <f t="shared" si="3"/>
        <v>White Notebook (XS)</v>
      </c>
      <c r="L38" t="str">
        <f t="shared" si="0"/>
        <v>Nina</v>
      </c>
      <c r="M38" t="str">
        <f>SUBSTITUTE(Table1[[#This Row],[Raw_Address]], ", ", " - ")</f>
        <v>San Diego - CA</v>
      </c>
      <c r="N38" t="str">
        <f t="shared" si="1"/>
        <v>Q3-2026</v>
      </c>
      <c r="O38" t="str">
        <f t="shared" si="2"/>
        <v>INV/00035/JUL</v>
      </c>
    </row>
    <row r="39" spans="1:15" x14ac:dyDescent="0.35">
      <c r="A39" s="3" t="s">
        <v>1578</v>
      </c>
      <c r="B39" s="3" t="s">
        <v>1474</v>
      </c>
      <c r="C39" s="3" t="s">
        <v>1431</v>
      </c>
      <c r="D39" s="3" t="s">
        <v>1420</v>
      </c>
      <c r="E39" s="3" t="s">
        <v>1475</v>
      </c>
      <c r="F39" t="s">
        <v>1579</v>
      </c>
      <c r="G39" t="s">
        <v>1521</v>
      </c>
      <c r="H39" s="7">
        <v>46303</v>
      </c>
      <c r="I39" s="7">
        <v>46321</v>
      </c>
      <c r="J39" t="s">
        <v>2555</v>
      </c>
      <c r="K39" t="str">
        <f t="shared" si="3"/>
        <v>Gold Power Bank (M)</v>
      </c>
      <c r="L39" t="str">
        <f t="shared" si="0"/>
        <v>Jack</v>
      </c>
      <c r="M39" t="str">
        <f>SUBSTITUTE(Table1[[#This Row],[Raw_Address]], ", ", " - ")</f>
        <v>Kansas City - MO</v>
      </c>
      <c r="N39" t="str">
        <f t="shared" si="1"/>
        <v>Q4-2026</v>
      </c>
      <c r="O39" t="str">
        <f t="shared" si="2"/>
        <v>INV/00036/OCT</v>
      </c>
    </row>
    <row r="40" spans="1:15" x14ac:dyDescent="0.35">
      <c r="A40" s="3" t="s">
        <v>1580</v>
      </c>
      <c r="B40" s="3" t="s">
        <v>1419</v>
      </c>
      <c r="C40" s="3" t="s">
        <v>18</v>
      </c>
      <c r="D40" s="3" t="s">
        <v>1432</v>
      </c>
      <c r="E40" s="3" t="s">
        <v>1483</v>
      </c>
      <c r="F40" t="s">
        <v>1581</v>
      </c>
      <c r="G40" t="s">
        <v>1525</v>
      </c>
      <c r="H40" s="7">
        <v>46035</v>
      </c>
      <c r="I40" s="7">
        <v>46056</v>
      </c>
      <c r="J40" t="s">
        <v>2550</v>
      </c>
      <c r="K40" t="str">
        <f t="shared" si="3"/>
        <v>White Tablet (XL)</v>
      </c>
      <c r="L40" t="str">
        <f t="shared" si="0"/>
        <v>Victor</v>
      </c>
      <c r="M40" t="str">
        <f>SUBSTITUTE(Table1[[#This Row],[Raw_Address]], ", ", " - ")</f>
        <v>Portland - OR</v>
      </c>
      <c r="N40" t="str">
        <f t="shared" si="1"/>
        <v>Q1-2026</v>
      </c>
      <c r="O40" t="str">
        <f t="shared" si="2"/>
        <v>INV/00037/JAN</v>
      </c>
    </row>
    <row r="41" spans="1:15" x14ac:dyDescent="0.35">
      <c r="A41" s="3" t="s">
        <v>1582</v>
      </c>
      <c r="B41" s="3" t="s">
        <v>1430</v>
      </c>
      <c r="C41" s="3" t="s">
        <v>1431</v>
      </c>
      <c r="D41" s="3" t="s">
        <v>1443</v>
      </c>
      <c r="E41" s="3" t="s">
        <v>1487</v>
      </c>
      <c r="F41" t="s">
        <v>1583</v>
      </c>
      <c r="G41" t="s">
        <v>1529</v>
      </c>
      <c r="H41" s="7">
        <v>46130</v>
      </c>
      <c r="I41" s="7">
        <v>46154</v>
      </c>
      <c r="J41" t="s">
        <v>2551</v>
      </c>
      <c r="K41" t="str">
        <f t="shared" si="3"/>
        <v>Gold Mouse (S)</v>
      </c>
      <c r="L41" t="str">
        <f t="shared" si="0"/>
        <v>Liam</v>
      </c>
      <c r="M41" t="str">
        <f>SUBSTITUTE(Table1[[#This Row],[Raw_Address]], ", ", " - ")</f>
        <v>Las Vegas - NV</v>
      </c>
      <c r="N41" t="str">
        <f t="shared" si="1"/>
        <v>Q2-2026</v>
      </c>
      <c r="O41" t="str">
        <f t="shared" si="2"/>
        <v>INV/00038/APR</v>
      </c>
    </row>
    <row r="42" spans="1:15" x14ac:dyDescent="0.35">
      <c r="A42" s="3" t="s">
        <v>1584</v>
      </c>
      <c r="B42" s="3" t="s">
        <v>1442</v>
      </c>
      <c r="C42" s="3" t="s">
        <v>18</v>
      </c>
      <c r="D42" s="3" t="s">
        <v>1454</v>
      </c>
      <c r="E42" s="3" t="s">
        <v>1491</v>
      </c>
      <c r="F42" t="s">
        <v>1585</v>
      </c>
      <c r="G42" t="s">
        <v>1533</v>
      </c>
      <c r="H42" s="7">
        <v>46226</v>
      </c>
      <c r="I42" s="7">
        <v>46253</v>
      </c>
      <c r="J42" t="s">
        <v>2552</v>
      </c>
      <c r="K42" t="str">
        <f t="shared" si="3"/>
        <v>White Camera (L)</v>
      </c>
      <c r="L42" t="str">
        <f t="shared" si="0"/>
        <v>Elijah</v>
      </c>
      <c r="M42" t="str">
        <f>SUBSTITUTE(Table1[[#This Row],[Raw_Address]], ", ", " - ")</f>
        <v>Chicago - IL</v>
      </c>
      <c r="N42" t="str">
        <f t="shared" si="1"/>
        <v>Q3-2026</v>
      </c>
      <c r="O42" t="str">
        <f t="shared" si="2"/>
        <v>INV/00039/JUL</v>
      </c>
    </row>
    <row r="43" spans="1:15" x14ac:dyDescent="0.35">
      <c r="A43" s="3" t="s">
        <v>1586</v>
      </c>
      <c r="B43" s="3" t="s">
        <v>1453</v>
      </c>
      <c r="C43" s="3" t="s">
        <v>1431</v>
      </c>
      <c r="D43" s="3" t="s">
        <v>1465</v>
      </c>
      <c r="E43" s="3" t="s">
        <v>1495</v>
      </c>
      <c r="F43" t="s">
        <v>1587</v>
      </c>
      <c r="G43" t="s">
        <v>1537</v>
      </c>
      <c r="H43" s="7">
        <v>46323</v>
      </c>
      <c r="I43" s="7">
        <v>46353</v>
      </c>
      <c r="J43" t="s">
        <v>2553</v>
      </c>
      <c r="K43" t="str">
        <f t="shared" si="3"/>
        <v>Gold Desk Lamp (XS)</v>
      </c>
      <c r="L43" t="str">
        <f t="shared" si="0"/>
        <v>Lucas</v>
      </c>
      <c r="M43" t="str">
        <f>SUBSTITUTE(Table1[[#This Row],[Raw_Address]], ", ", " - ")</f>
        <v>Detroit - MI</v>
      </c>
      <c r="N43" t="str">
        <f t="shared" si="1"/>
        <v>Q4-2026</v>
      </c>
      <c r="O43" t="str">
        <f t="shared" si="2"/>
        <v>INV/00040/OCT</v>
      </c>
    </row>
    <row r="44" spans="1:15" x14ac:dyDescent="0.35">
      <c r="A44" s="3" t="s">
        <v>1588</v>
      </c>
      <c r="B44" s="3" t="s">
        <v>1464</v>
      </c>
      <c r="C44" s="3" t="s">
        <v>18</v>
      </c>
      <c r="D44" s="3" t="s">
        <v>1420</v>
      </c>
      <c r="E44" s="3" t="s">
        <v>1499</v>
      </c>
      <c r="F44" t="s">
        <v>1589</v>
      </c>
      <c r="G44" t="s">
        <v>1423</v>
      </c>
      <c r="H44" s="7">
        <v>46027</v>
      </c>
      <c r="I44" s="7">
        <v>46030</v>
      </c>
      <c r="J44" t="s">
        <v>2554</v>
      </c>
      <c r="K44" t="str">
        <f t="shared" si="3"/>
        <v>White Notebook (M)</v>
      </c>
      <c r="L44" t="str">
        <f t="shared" si="0"/>
        <v>Ethan</v>
      </c>
      <c r="M44" t="str">
        <f>SUBSTITUTE(Table1[[#This Row],[Raw_Address]], ", ", " - ")</f>
        <v>Boston - MA</v>
      </c>
      <c r="N44" t="str">
        <f t="shared" si="1"/>
        <v>Q1-2026</v>
      </c>
      <c r="O44" t="str">
        <f t="shared" si="2"/>
        <v>INV/00041/JAN</v>
      </c>
    </row>
    <row r="45" spans="1:15" x14ac:dyDescent="0.35">
      <c r="A45" s="3" t="s">
        <v>1590</v>
      </c>
      <c r="B45" s="3" t="s">
        <v>1474</v>
      </c>
      <c r="C45" s="3" t="s">
        <v>1431</v>
      </c>
      <c r="D45" s="3" t="s">
        <v>1432</v>
      </c>
      <c r="E45" s="3" t="s">
        <v>1503</v>
      </c>
      <c r="F45" t="s">
        <v>1591</v>
      </c>
      <c r="G45" t="s">
        <v>1435</v>
      </c>
      <c r="H45" s="7">
        <v>46122</v>
      </c>
      <c r="I45" s="7">
        <v>46128</v>
      </c>
      <c r="J45" t="s">
        <v>2555</v>
      </c>
      <c r="K45" t="str">
        <f t="shared" si="3"/>
        <v>Gold Power Bank (XL)</v>
      </c>
      <c r="L45" t="str">
        <f t="shared" si="0"/>
        <v>Evelyn</v>
      </c>
      <c r="M45" t="str">
        <f>SUBSTITUTE(Table1[[#This Row],[Raw_Address]], ", ", " - ")</f>
        <v>Columbus - OH</v>
      </c>
      <c r="N45" t="str">
        <f t="shared" si="1"/>
        <v>Q2-2026</v>
      </c>
      <c r="O45" t="str">
        <f t="shared" si="2"/>
        <v>INV/00042/APR</v>
      </c>
    </row>
    <row r="46" spans="1:15" x14ac:dyDescent="0.35">
      <c r="A46" s="3" t="s">
        <v>1592</v>
      </c>
      <c r="B46" s="3" t="s">
        <v>1419</v>
      </c>
      <c r="C46" s="3" t="s">
        <v>18</v>
      </c>
      <c r="D46" s="3" t="s">
        <v>1443</v>
      </c>
      <c r="E46" s="3" t="s">
        <v>1507</v>
      </c>
      <c r="F46" t="s">
        <v>1593</v>
      </c>
      <c r="G46" t="s">
        <v>1446</v>
      </c>
      <c r="H46" s="7">
        <v>46218</v>
      </c>
      <c r="I46" s="7">
        <v>46227</v>
      </c>
      <c r="J46" t="s">
        <v>2550</v>
      </c>
      <c r="K46" t="str">
        <f t="shared" si="3"/>
        <v>White Tablet (S)</v>
      </c>
      <c r="L46" t="str">
        <f t="shared" si="0"/>
        <v>Scarlett</v>
      </c>
      <c r="M46" t="str">
        <f>SUBSTITUTE(Table1[[#This Row],[Raw_Address]], ", ", " - ")</f>
        <v>Denver - CO</v>
      </c>
      <c r="N46" t="str">
        <f t="shared" si="1"/>
        <v>Q3-2026</v>
      </c>
      <c r="O46" t="str">
        <f t="shared" si="2"/>
        <v>INV/00043/JUL</v>
      </c>
    </row>
    <row r="47" spans="1:15" x14ac:dyDescent="0.35">
      <c r="A47" s="3" t="s">
        <v>1594</v>
      </c>
      <c r="B47" s="3" t="s">
        <v>1430</v>
      </c>
      <c r="C47" s="3" t="s">
        <v>1431</v>
      </c>
      <c r="D47" s="3" t="s">
        <v>1454</v>
      </c>
      <c r="E47" s="3" t="s">
        <v>1511</v>
      </c>
      <c r="F47" t="s">
        <v>1595</v>
      </c>
      <c r="G47" t="s">
        <v>1457</v>
      </c>
      <c r="H47" s="7">
        <v>46315</v>
      </c>
      <c r="I47" s="7">
        <v>46327</v>
      </c>
      <c r="J47" t="s">
        <v>2551</v>
      </c>
      <c r="K47" t="str">
        <f t="shared" si="3"/>
        <v>Gold Mouse (L)</v>
      </c>
      <c r="L47" t="str">
        <f t="shared" si="0"/>
        <v>Sofia</v>
      </c>
      <c r="M47" t="str">
        <f>SUBSTITUTE(Table1[[#This Row],[Raw_Address]], ", ", " - ")</f>
        <v>Dallas - TX</v>
      </c>
      <c r="N47" t="str">
        <f t="shared" si="1"/>
        <v>Q4-2026</v>
      </c>
      <c r="O47" t="str">
        <f t="shared" si="2"/>
        <v>INV/00044/OCT</v>
      </c>
    </row>
    <row r="48" spans="1:15" x14ac:dyDescent="0.35">
      <c r="A48" s="3" t="s">
        <v>1596</v>
      </c>
      <c r="B48" s="3" t="s">
        <v>1442</v>
      </c>
      <c r="C48" s="3" t="s">
        <v>18</v>
      </c>
      <c r="D48" s="3" t="s">
        <v>1465</v>
      </c>
      <c r="E48" s="3" t="s">
        <v>1515</v>
      </c>
      <c r="F48" t="s">
        <v>1597</v>
      </c>
      <c r="G48" t="s">
        <v>1468</v>
      </c>
      <c r="H48" s="7">
        <v>46047</v>
      </c>
      <c r="I48" s="7">
        <v>46062</v>
      </c>
      <c r="J48" t="s">
        <v>2552</v>
      </c>
      <c r="K48" t="str">
        <f t="shared" si="3"/>
        <v>White Camera (XS)</v>
      </c>
      <c r="L48" t="str">
        <f t="shared" si="0"/>
        <v>Priya</v>
      </c>
      <c r="M48" t="str">
        <f>SUBSTITUTE(Table1[[#This Row],[Raw_Address]], ", ", " - ")</f>
        <v>Seattle - WA</v>
      </c>
      <c r="N48" t="str">
        <f t="shared" si="1"/>
        <v>Q1-2026</v>
      </c>
      <c r="O48" t="str">
        <f t="shared" si="2"/>
        <v>INV/00045/JAN</v>
      </c>
    </row>
    <row r="49" spans="1:15" x14ac:dyDescent="0.35">
      <c r="A49" s="3" t="s">
        <v>1598</v>
      </c>
      <c r="B49" s="3" t="s">
        <v>1453</v>
      </c>
      <c r="C49" s="3" t="s">
        <v>1431</v>
      </c>
      <c r="D49" s="3" t="s">
        <v>1420</v>
      </c>
      <c r="E49" s="3" t="s">
        <v>1519</v>
      </c>
      <c r="F49" t="s">
        <v>1599</v>
      </c>
      <c r="G49" t="s">
        <v>1477</v>
      </c>
      <c r="H49" s="7">
        <v>46114</v>
      </c>
      <c r="I49" s="7">
        <v>46132</v>
      </c>
      <c r="J49" t="s">
        <v>2553</v>
      </c>
      <c r="K49" t="str">
        <f t="shared" si="3"/>
        <v>Gold Desk Lamp (M)</v>
      </c>
      <c r="L49" t="str">
        <f t="shared" si="0"/>
        <v>Kabir</v>
      </c>
      <c r="M49" t="str">
        <f>SUBSTITUTE(Table1[[#This Row],[Raw_Address]], ", ", " - ")</f>
        <v>Nashville - TN</v>
      </c>
      <c r="N49" t="str">
        <f t="shared" si="1"/>
        <v>Q2-2026</v>
      </c>
      <c r="O49" t="str">
        <f t="shared" si="2"/>
        <v>INV/00046/APR</v>
      </c>
    </row>
    <row r="50" spans="1:15" x14ac:dyDescent="0.35">
      <c r="A50" s="3" t="s">
        <v>1600</v>
      </c>
      <c r="B50" s="3" t="s">
        <v>1464</v>
      </c>
      <c r="C50" s="3" t="s">
        <v>18</v>
      </c>
      <c r="D50" s="3" t="s">
        <v>1432</v>
      </c>
      <c r="E50" s="3" t="s">
        <v>1523</v>
      </c>
      <c r="F50" t="s">
        <v>1601</v>
      </c>
      <c r="G50" t="s">
        <v>1485</v>
      </c>
      <c r="H50" s="7">
        <v>46210</v>
      </c>
      <c r="I50" s="7">
        <v>46231</v>
      </c>
      <c r="J50" t="s">
        <v>2554</v>
      </c>
      <c r="K50" t="str">
        <f t="shared" si="3"/>
        <v>White Notebook (XL)</v>
      </c>
      <c r="L50" t="str">
        <f t="shared" si="0"/>
        <v>Fatima</v>
      </c>
      <c r="M50" t="str">
        <f>SUBSTITUTE(Table1[[#This Row],[Raw_Address]], ", ", " - ")</f>
        <v>Minneapolis - MN</v>
      </c>
      <c r="N50" t="str">
        <f t="shared" si="1"/>
        <v>Q3-2026</v>
      </c>
      <c r="O50" t="str">
        <f t="shared" si="2"/>
        <v>INV/00047/JUL</v>
      </c>
    </row>
    <row r="51" spans="1:15" x14ac:dyDescent="0.35">
      <c r="A51" s="3" t="s">
        <v>1602</v>
      </c>
      <c r="B51" s="3" t="s">
        <v>1474</v>
      </c>
      <c r="C51" s="3" t="s">
        <v>1431</v>
      </c>
      <c r="D51" s="3" t="s">
        <v>1443</v>
      </c>
      <c r="E51" s="3" t="s">
        <v>1527</v>
      </c>
      <c r="F51" t="s">
        <v>1603</v>
      </c>
      <c r="G51" t="s">
        <v>1489</v>
      </c>
      <c r="H51" s="7">
        <v>46307</v>
      </c>
      <c r="I51" s="7">
        <v>46331</v>
      </c>
      <c r="J51" t="s">
        <v>2555</v>
      </c>
      <c r="K51" t="str">
        <f t="shared" si="3"/>
        <v>Gold Power Bank (S)</v>
      </c>
      <c r="L51" t="str">
        <f t="shared" si="0"/>
        <v>Grace</v>
      </c>
      <c r="M51" t="str">
        <f>SUBSTITUTE(Table1[[#This Row],[Raw_Address]], ", ", " - ")</f>
        <v>Atlanta - GA</v>
      </c>
      <c r="N51" t="str">
        <f t="shared" si="1"/>
        <v>Q4-2026</v>
      </c>
      <c r="O51" t="str">
        <f t="shared" si="2"/>
        <v>INV/00048/OCT</v>
      </c>
    </row>
    <row r="52" spans="1:15" x14ac:dyDescent="0.35">
      <c r="A52" s="3" t="s">
        <v>1604</v>
      </c>
      <c r="B52" s="3" t="s">
        <v>1419</v>
      </c>
      <c r="C52" s="3" t="s">
        <v>18</v>
      </c>
      <c r="D52" s="3" t="s">
        <v>1454</v>
      </c>
      <c r="E52" s="3" t="s">
        <v>1531</v>
      </c>
      <c r="F52" t="s">
        <v>1605</v>
      </c>
      <c r="G52" t="s">
        <v>1493</v>
      </c>
      <c r="H52" s="7">
        <v>46039</v>
      </c>
      <c r="I52" s="7">
        <v>46066</v>
      </c>
      <c r="J52" t="s">
        <v>2550</v>
      </c>
      <c r="K52" t="str">
        <f t="shared" si="3"/>
        <v>White Tablet (L)</v>
      </c>
      <c r="L52" t="str">
        <f t="shared" si="0"/>
        <v>David</v>
      </c>
      <c r="M52" t="str">
        <f>SUBSTITUTE(Table1[[#This Row],[Raw_Address]], ", ", " - ")</f>
        <v>Tampa - FL</v>
      </c>
      <c r="N52" t="str">
        <f t="shared" si="1"/>
        <v>Q1-2026</v>
      </c>
      <c r="O52" t="str">
        <f t="shared" si="2"/>
        <v>INV/00049/JAN</v>
      </c>
    </row>
    <row r="53" spans="1:15" x14ac:dyDescent="0.35">
      <c r="A53" s="3" t="s">
        <v>1606</v>
      </c>
      <c r="B53" s="3" t="s">
        <v>1430</v>
      </c>
      <c r="C53" s="3" t="s">
        <v>1431</v>
      </c>
      <c r="D53" s="3" t="s">
        <v>1465</v>
      </c>
      <c r="E53" s="3" t="s">
        <v>1535</v>
      </c>
      <c r="F53" t="s">
        <v>1607</v>
      </c>
      <c r="G53" t="s">
        <v>1497</v>
      </c>
      <c r="H53" s="7">
        <v>46134</v>
      </c>
      <c r="I53" s="7">
        <v>46164</v>
      </c>
      <c r="J53" t="s">
        <v>2551</v>
      </c>
      <c r="K53" t="str">
        <f t="shared" si="3"/>
        <v>Gold Mouse (XS)</v>
      </c>
      <c r="L53" t="str">
        <f t="shared" si="0"/>
        <v>Anaya</v>
      </c>
      <c r="M53" t="str">
        <f>SUBSTITUTE(Table1[[#This Row],[Raw_Address]], ", ", " - ")</f>
        <v>Phoenix - AZ</v>
      </c>
      <c r="N53" t="str">
        <f t="shared" si="1"/>
        <v>Q2-2026</v>
      </c>
      <c r="O53" t="str">
        <f t="shared" si="2"/>
        <v>INV/00050/APR</v>
      </c>
    </row>
    <row r="54" spans="1:15" x14ac:dyDescent="0.35">
      <c r="A54" s="3" t="s">
        <v>1608</v>
      </c>
      <c r="B54" s="3" t="s">
        <v>1442</v>
      </c>
      <c r="C54" s="3" t="s">
        <v>18</v>
      </c>
      <c r="D54" s="3" t="s">
        <v>1420</v>
      </c>
      <c r="E54" s="3" t="s">
        <v>1539</v>
      </c>
      <c r="F54" t="s">
        <v>1609</v>
      </c>
      <c r="G54" t="s">
        <v>1501</v>
      </c>
      <c r="H54" s="7">
        <v>46230</v>
      </c>
      <c r="I54" s="7">
        <v>46233</v>
      </c>
      <c r="J54" t="s">
        <v>2552</v>
      </c>
      <c r="K54" t="str">
        <f t="shared" si="3"/>
        <v>White Camera (M)</v>
      </c>
      <c r="L54" t="str">
        <f t="shared" si="0"/>
        <v>Emma</v>
      </c>
      <c r="M54" t="str">
        <f>SUBSTITUTE(Table1[[#This Row],[Raw_Address]], ", ", " - ")</f>
        <v>Raleigh - NC</v>
      </c>
      <c r="N54" t="str">
        <f t="shared" si="1"/>
        <v>Q3-2026</v>
      </c>
      <c r="O54" t="str">
        <f t="shared" si="2"/>
        <v>INV/00051/JUL</v>
      </c>
    </row>
    <row r="55" spans="1:15" x14ac:dyDescent="0.35">
      <c r="A55" s="3" t="s">
        <v>1610</v>
      </c>
      <c r="B55" s="3" t="s">
        <v>1453</v>
      </c>
      <c r="C55" s="3" t="s">
        <v>1431</v>
      </c>
      <c r="D55" s="3" t="s">
        <v>1432</v>
      </c>
      <c r="E55" s="3" t="s">
        <v>1542</v>
      </c>
      <c r="F55" t="s">
        <v>1611</v>
      </c>
      <c r="G55" t="s">
        <v>1505</v>
      </c>
      <c r="H55" s="7">
        <v>46299</v>
      </c>
      <c r="I55" s="7">
        <v>46305</v>
      </c>
      <c r="J55" t="s">
        <v>2553</v>
      </c>
      <c r="K55" t="str">
        <f t="shared" si="3"/>
        <v>Gold Desk Lamp (XL)</v>
      </c>
      <c r="L55" t="str">
        <f t="shared" si="0"/>
        <v>Mason</v>
      </c>
      <c r="M55" t="str">
        <f>SUBSTITUTE(Table1[[#This Row],[Raw_Address]], ", ", " - ")</f>
        <v>Miami - FL</v>
      </c>
      <c r="N55" t="str">
        <f t="shared" si="1"/>
        <v>Q4-2026</v>
      </c>
      <c r="O55" t="str">
        <f t="shared" si="2"/>
        <v>INV/00052/OCT</v>
      </c>
    </row>
    <row r="56" spans="1:15" x14ac:dyDescent="0.35">
      <c r="A56" s="3" t="s">
        <v>1612</v>
      </c>
      <c r="B56" s="3" t="s">
        <v>1464</v>
      </c>
      <c r="C56" s="3" t="s">
        <v>18</v>
      </c>
      <c r="D56" s="3" t="s">
        <v>1443</v>
      </c>
      <c r="E56" s="3" t="s">
        <v>1545</v>
      </c>
      <c r="F56" t="s">
        <v>1613</v>
      </c>
      <c r="G56" t="s">
        <v>1509</v>
      </c>
      <c r="H56" s="7">
        <v>46031</v>
      </c>
      <c r="I56" s="7">
        <v>46040</v>
      </c>
      <c r="J56" t="s">
        <v>2554</v>
      </c>
      <c r="K56" t="str">
        <f t="shared" si="3"/>
        <v>White Notebook (S)</v>
      </c>
      <c r="L56" t="str">
        <f t="shared" si="0"/>
        <v>Amelia</v>
      </c>
      <c r="M56" t="str">
        <f>SUBSTITUTE(Table1[[#This Row],[Raw_Address]], ", ", " - ")</f>
        <v>Charlotte - NC</v>
      </c>
      <c r="N56" t="str">
        <f t="shared" si="1"/>
        <v>Q1-2026</v>
      </c>
      <c r="O56" t="str">
        <f t="shared" si="2"/>
        <v>INV/00053/JAN</v>
      </c>
    </row>
    <row r="57" spans="1:15" x14ac:dyDescent="0.35">
      <c r="A57" s="3" t="s">
        <v>1614</v>
      </c>
      <c r="B57" s="3" t="s">
        <v>1474</v>
      </c>
      <c r="C57" s="3" t="s">
        <v>1431</v>
      </c>
      <c r="D57" s="3" t="s">
        <v>1454</v>
      </c>
      <c r="E57" s="3" t="s">
        <v>1548</v>
      </c>
      <c r="F57" t="s">
        <v>1615</v>
      </c>
      <c r="G57" t="s">
        <v>1513</v>
      </c>
      <c r="H57" s="7">
        <v>46126</v>
      </c>
      <c r="I57" s="7">
        <v>46138</v>
      </c>
      <c r="J57" t="s">
        <v>2555</v>
      </c>
      <c r="K57" t="str">
        <f t="shared" si="3"/>
        <v>Gold Power Bank (L)</v>
      </c>
      <c r="L57" t="str">
        <f t="shared" si="0"/>
        <v>Charlotte</v>
      </c>
      <c r="M57" t="str">
        <f>SUBSTITUTE(Table1[[#This Row],[Raw_Address]], ", ", " - ")</f>
        <v>Austin - TX</v>
      </c>
      <c r="N57" t="str">
        <f t="shared" si="1"/>
        <v>Q2-2026</v>
      </c>
      <c r="O57" t="str">
        <f t="shared" si="2"/>
        <v>INV/00054/APR</v>
      </c>
    </row>
    <row r="58" spans="1:15" x14ac:dyDescent="0.35">
      <c r="A58" s="3" t="s">
        <v>1616</v>
      </c>
      <c r="B58" s="3" t="s">
        <v>1419</v>
      </c>
      <c r="C58" s="3" t="s">
        <v>18</v>
      </c>
      <c r="D58" s="3" t="s">
        <v>1465</v>
      </c>
      <c r="E58" s="3" t="s">
        <v>1551</v>
      </c>
      <c r="F58" t="s">
        <v>1617</v>
      </c>
      <c r="G58" t="s">
        <v>1517</v>
      </c>
      <c r="H58" s="7">
        <v>46222</v>
      </c>
      <c r="I58" s="7">
        <v>46237</v>
      </c>
      <c r="J58" t="s">
        <v>2550</v>
      </c>
      <c r="K58" t="str">
        <f t="shared" si="3"/>
        <v>White Tablet (XS)</v>
      </c>
      <c r="L58" t="str">
        <f t="shared" si="0"/>
        <v>Henry</v>
      </c>
      <c r="M58" t="str">
        <f>SUBSTITUTE(Table1[[#This Row],[Raw_Address]], ", ", " - ")</f>
        <v>San Diego - CA</v>
      </c>
      <c r="N58" t="str">
        <f t="shared" si="1"/>
        <v>Q3-2026</v>
      </c>
      <c r="O58" t="str">
        <f t="shared" si="2"/>
        <v>INV/00055/JUL</v>
      </c>
    </row>
    <row r="59" spans="1:15" x14ac:dyDescent="0.35">
      <c r="A59" s="3" t="s">
        <v>1618</v>
      </c>
      <c r="B59" s="3" t="s">
        <v>1430</v>
      </c>
      <c r="C59" s="3" t="s">
        <v>1431</v>
      </c>
      <c r="D59" s="3" t="s">
        <v>1420</v>
      </c>
      <c r="E59" s="3" t="s">
        <v>1554</v>
      </c>
      <c r="F59" t="s">
        <v>1619</v>
      </c>
      <c r="G59" t="s">
        <v>1521</v>
      </c>
      <c r="H59" s="7">
        <v>46319</v>
      </c>
      <c r="I59" s="7">
        <v>46337</v>
      </c>
      <c r="J59" t="s">
        <v>2551</v>
      </c>
      <c r="K59" t="str">
        <f t="shared" si="3"/>
        <v>Gold Mouse (M)</v>
      </c>
      <c r="L59" t="str">
        <f t="shared" si="0"/>
        <v>Michael</v>
      </c>
      <c r="M59" t="str">
        <f>SUBSTITUTE(Table1[[#This Row],[Raw_Address]], ", ", " - ")</f>
        <v>Kansas City - MO</v>
      </c>
      <c r="N59" t="str">
        <f t="shared" si="1"/>
        <v>Q4-2026</v>
      </c>
      <c r="O59" t="str">
        <f t="shared" si="2"/>
        <v>INV/00056/OCT</v>
      </c>
    </row>
    <row r="60" spans="1:15" x14ac:dyDescent="0.35">
      <c r="A60" s="3" t="s">
        <v>1620</v>
      </c>
      <c r="B60" s="3" t="s">
        <v>1442</v>
      </c>
      <c r="C60" s="3" t="s">
        <v>18</v>
      </c>
      <c r="D60" s="3" t="s">
        <v>1432</v>
      </c>
      <c r="E60" s="3" t="s">
        <v>1557</v>
      </c>
      <c r="F60" t="s">
        <v>1621</v>
      </c>
      <c r="G60" t="s">
        <v>1525</v>
      </c>
      <c r="H60" s="7">
        <v>46023</v>
      </c>
      <c r="I60" s="7">
        <v>46044</v>
      </c>
      <c r="J60" t="s">
        <v>2552</v>
      </c>
      <c r="K60" t="str">
        <f t="shared" si="3"/>
        <v>White Camera (XL)</v>
      </c>
      <c r="L60" t="str">
        <f t="shared" si="0"/>
        <v>Mateo</v>
      </c>
      <c r="M60" t="str">
        <f>SUBSTITUTE(Table1[[#This Row],[Raw_Address]], ", ", " - ")</f>
        <v>Portland - OR</v>
      </c>
      <c r="N60" t="str">
        <f t="shared" si="1"/>
        <v>Q1-2026</v>
      </c>
      <c r="O60" t="str">
        <f t="shared" si="2"/>
        <v>INV/00057/JAN</v>
      </c>
    </row>
    <row r="61" spans="1:15" x14ac:dyDescent="0.35">
      <c r="A61" s="3" t="s">
        <v>1622</v>
      </c>
      <c r="B61" s="3" t="s">
        <v>1453</v>
      </c>
      <c r="C61" s="3" t="s">
        <v>1431</v>
      </c>
      <c r="D61" s="3" t="s">
        <v>1443</v>
      </c>
      <c r="E61" s="3" t="s">
        <v>1560</v>
      </c>
      <c r="F61" t="s">
        <v>1623</v>
      </c>
      <c r="G61" t="s">
        <v>1529</v>
      </c>
      <c r="H61" s="7">
        <v>46118</v>
      </c>
      <c r="I61" s="7">
        <v>46142</v>
      </c>
      <c r="J61" t="s">
        <v>2553</v>
      </c>
      <c r="K61" t="str">
        <f t="shared" si="3"/>
        <v>Gold Desk Lamp (S)</v>
      </c>
      <c r="L61" t="str">
        <f t="shared" si="0"/>
        <v>Sana</v>
      </c>
      <c r="M61" t="str">
        <f>SUBSTITUTE(Table1[[#This Row],[Raw_Address]], ", ", " - ")</f>
        <v>Las Vegas - NV</v>
      </c>
      <c r="N61" t="str">
        <f t="shared" si="1"/>
        <v>Q2-2026</v>
      </c>
      <c r="O61" t="str">
        <f t="shared" si="2"/>
        <v>INV/00058/APR</v>
      </c>
    </row>
    <row r="62" spans="1:15" x14ac:dyDescent="0.35">
      <c r="A62" s="3" t="s">
        <v>1624</v>
      </c>
      <c r="B62" s="3" t="s">
        <v>1464</v>
      </c>
      <c r="C62" s="3" t="s">
        <v>18</v>
      </c>
      <c r="D62" s="3" t="s">
        <v>1454</v>
      </c>
      <c r="E62" s="3" t="s">
        <v>1563</v>
      </c>
      <c r="F62" t="s">
        <v>1625</v>
      </c>
      <c r="G62" t="s">
        <v>1533</v>
      </c>
      <c r="H62" s="7">
        <v>46214</v>
      </c>
      <c r="I62" s="7">
        <v>46241</v>
      </c>
      <c r="J62" t="s">
        <v>2554</v>
      </c>
      <c r="K62" t="str">
        <f t="shared" si="3"/>
        <v>White Notebook (L)</v>
      </c>
      <c r="L62" t="str">
        <f t="shared" si="0"/>
        <v>Omar</v>
      </c>
      <c r="M62" t="str">
        <f>SUBSTITUTE(Table1[[#This Row],[Raw_Address]], ", ", " - ")</f>
        <v>Chicago - IL</v>
      </c>
      <c r="N62" t="str">
        <f t="shared" si="1"/>
        <v>Q3-2026</v>
      </c>
      <c r="O62" t="str">
        <f t="shared" si="2"/>
        <v>INV/00059/JUL</v>
      </c>
    </row>
    <row r="63" spans="1:15" x14ac:dyDescent="0.35">
      <c r="A63" s="3" t="s">
        <v>1626</v>
      </c>
      <c r="B63" s="3" t="s">
        <v>1474</v>
      </c>
      <c r="C63" s="3" t="s">
        <v>1431</v>
      </c>
      <c r="D63" s="3" t="s">
        <v>1465</v>
      </c>
      <c r="E63" s="3" t="s">
        <v>1566</v>
      </c>
      <c r="F63" t="s">
        <v>1627</v>
      </c>
      <c r="G63" t="s">
        <v>1537</v>
      </c>
      <c r="H63" s="7">
        <v>46311</v>
      </c>
      <c r="I63" s="7">
        <v>46341</v>
      </c>
      <c r="J63" t="s">
        <v>2555</v>
      </c>
      <c r="K63" t="str">
        <f t="shared" si="3"/>
        <v>Gold Power Bank (XS)</v>
      </c>
      <c r="L63" t="str">
        <f t="shared" si="0"/>
        <v>Nina</v>
      </c>
      <c r="M63" t="str">
        <f>SUBSTITUTE(Table1[[#This Row],[Raw_Address]], ", ", " - ")</f>
        <v>Detroit - MI</v>
      </c>
      <c r="N63" t="str">
        <f t="shared" si="1"/>
        <v>Q4-2026</v>
      </c>
      <c r="O63" t="str">
        <f t="shared" si="2"/>
        <v>INV/00060/OCT</v>
      </c>
    </row>
    <row r="64" spans="1:15" x14ac:dyDescent="0.35">
      <c r="A64" s="3" t="s">
        <v>1628</v>
      </c>
      <c r="B64" s="3" t="s">
        <v>1419</v>
      </c>
      <c r="C64" s="3" t="s">
        <v>18</v>
      </c>
      <c r="D64" s="3" t="s">
        <v>1420</v>
      </c>
      <c r="E64" s="3" t="s">
        <v>1421</v>
      </c>
      <c r="F64" t="s">
        <v>1629</v>
      </c>
      <c r="G64" t="s">
        <v>1423</v>
      </c>
      <c r="H64" s="7">
        <v>46043</v>
      </c>
      <c r="I64" s="7">
        <v>46046</v>
      </c>
      <c r="J64" t="s">
        <v>2550</v>
      </c>
      <c r="K64" t="str">
        <f t="shared" si="3"/>
        <v>White Tablet (M)</v>
      </c>
      <c r="L64" t="str">
        <f t="shared" si="0"/>
        <v>Jack</v>
      </c>
      <c r="M64" t="str">
        <f>SUBSTITUTE(Table1[[#This Row],[Raw_Address]], ", ", " - ")</f>
        <v>Boston - MA</v>
      </c>
      <c r="N64" t="str">
        <f t="shared" si="1"/>
        <v>Q1-2026</v>
      </c>
      <c r="O64" t="str">
        <f t="shared" si="2"/>
        <v>INV/00061/JAN</v>
      </c>
    </row>
    <row r="65" spans="1:15" x14ac:dyDescent="0.35">
      <c r="A65" s="3" t="s">
        <v>1630</v>
      </c>
      <c r="B65" s="3" t="s">
        <v>1430</v>
      </c>
      <c r="C65" s="3" t="s">
        <v>1431</v>
      </c>
      <c r="D65" s="3" t="s">
        <v>1432</v>
      </c>
      <c r="E65" s="3" t="s">
        <v>1433</v>
      </c>
      <c r="F65" t="s">
        <v>1631</v>
      </c>
      <c r="G65" t="s">
        <v>1435</v>
      </c>
      <c r="H65" s="7">
        <v>46138</v>
      </c>
      <c r="I65" s="7">
        <v>46144</v>
      </c>
      <c r="J65" t="s">
        <v>2551</v>
      </c>
      <c r="K65" t="str">
        <f t="shared" si="3"/>
        <v>Gold Mouse (XL)</v>
      </c>
      <c r="L65" t="str">
        <f t="shared" si="0"/>
        <v>Victor</v>
      </c>
      <c r="M65" t="str">
        <f>SUBSTITUTE(Table1[[#This Row],[Raw_Address]], ", ", " - ")</f>
        <v>Columbus - OH</v>
      </c>
      <c r="N65" t="str">
        <f t="shared" si="1"/>
        <v>Q2-2026</v>
      </c>
      <c r="O65" t="str">
        <f t="shared" si="2"/>
        <v>INV/00062/APR</v>
      </c>
    </row>
    <row r="66" spans="1:15" x14ac:dyDescent="0.35">
      <c r="A66" s="3" t="s">
        <v>1632</v>
      </c>
      <c r="B66" s="3" t="s">
        <v>1442</v>
      </c>
      <c r="C66" s="3" t="s">
        <v>18</v>
      </c>
      <c r="D66" s="3" t="s">
        <v>1443</v>
      </c>
      <c r="E66" s="3" t="s">
        <v>1444</v>
      </c>
      <c r="F66" t="s">
        <v>1633</v>
      </c>
      <c r="G66" t="s">
        <v>1446</v>
      </c>
      <c r="H66" s="7">
        <v>46206</v>
      </c>
      <c r="I66" s="7">
        <v>46215</v>
      </c>
      <c r="J66" t="s">
        <v>2552</v>
      </c>
      <c r="K66" t="str">
        <f t="shared" si="3"/>
        <v>White Camera (S)</v>
      </c>
      <c r="L66" t="str">
        <f t="shared" si="0"/>
        <v>Liam</v>
      </c>
      <c r="M66" t="str">
        <f>SUBSTITUTE(Table1[[#This Row],[Raw_Address]], ", ", " - ")</f>
        <v>Denver - CO</v>
      </c>
      <c r="N66" t="str">
        <f t="shared" si="1"/>
        <v>Q3-2026</v>
      </c>
      <c r="O66" t="str">
        <f t="shared" si="2"/>
        <v>INV/00063/JUL</v>
      </c>
    </row>
    <row r="67" spans="1:15" x14ac:dyDescent="0.35">
      <c r="A67" s="3" t="s">
        <v>1634</v>
      </c>
      <c r="B67" s="3" t="s">
        <v>1453</v>
      </c>
      <c r="C67" s="3" t="s">
        <v>1431</v>
      </c>
      <c r="D67" s="3" t="s">
        <v>1454</v>
      </c>
      <c r="E67" s="3" t="s">
        <v>1455</v>
      </c>
      <c r="F67" t="s">
        <v>1635</v>
      </c>
      <c r="G67" t="s">
        <v>1457</v>
      </c>
      <c r="H67" s="7">
        <v>46303</v>
      </c>
      <c r="I67" s="7">
        <v>46315</v>
      </c>
      <c r="J67" t="s">
        <v>2553</v>
      </c>
      <c r="K67" t="str">
        <f t="shared" si="3"/>
        <v>Gold Desk Lamp (L)</v>
      </c>
      <c r="L67" t="str">
        <f t="shared" si="0"/>
        <v>Elijah</v>
      </c>
      <c r="M67" t="str">
        <f>SUBSTITUTE(Table1[[#This Row],[Raw_Address]], ", ", " - ")</f>
        <v>Dallas - TX</v>
      </c>
      <c r="N67" t="str">
        <f t="shared" si="1"/>
        <v>Q4-2026</v>
      </c>
      <c r="O67" t="str">
        <f t="shared" si="2"/>
        <v>INV/00064/OCT</v>
      </c>
    </row>
    <row r="68" spans="1:15" x14ac:dyDescent="0.35">
      <c r="A68" s="3" t="s">
        <v>1636</v>
      </c>
      <c r="B68" s="3" t="s">
        <v>1464</v>
      </c>
      <c r="C68" s="3" t="s">
        <v>18</v>
      </c>
      <c r="D68" s="3" t="s">
        <v>1465</v>
      </c>
      <c r="E68" s="3" t="s">
        <v>1466</v>
      </c>
      <c r="F68" t="s">
        <v>1637</v>
      </c>
      <c r="G68" t="s">
        <v>1468</v>
      </c>
      <c r="H68" s="7">
        <v>46035</v>
      </c>
      <c r="I68" s="7">
        <v>46050</v>
      </c>
      <c r="J68" t="s">
        <v>2554</v>
      </c>
      <c r="K68" t="str">
        <f t="shared" si="3"/>
        <v>White Notebook (XS)</v>
      </c>
      <c r="L68" t="str">
        <f t="shared" si="0"/>
        <v>Lucas</v>
      </c>
      <c r="M68" t="str">
        <f>SUBSTITUTE(Table1[[#This Row],[Raw_Address]], ", ", " - ")</f>
        <v>Seattle - WA</v>
      </c>
      <c r="N68" t="str">
        <f t="shared" si="1"/>
        <v>Q1-2026</v>
      </c>
      <c r="O68" t="str">
        <f t="shared" si="2"/>
        <v>INV/00065/JAN</v>
      </c>
    </row>
    <row r="69" spans="1:15" x14ac:dyDescent="0.35">
      <c r="A69" s="3" t="s">
        <v>1638</v>
      </c>
      <c r="B69" s="3" t="s">
        <v>1474</v>
      </c>
      <c r="C69" s="3" t="s">
        <v>1431</v>
      </c>
      <c r="D69" s="3" t="s">
        <v>1420</v>
      </c>
      <c r="E69" s="3" t="s">
        <v>1475</v>
      </c>
      <c r="F69" t="s">
        <v>1639</v>
      </c>
      <c r="G69" t="s">
        <v>1477</v>
      </c>
      <c r="H69" s="7">
        <v>46130</v>
      </c>
      <c r="I69" s="7">
        <v>46148</v>
      </c>
      <c r="J69" t="s">
        <v>2555</v>
      </c>
      <c r="K69" t="str">
        <f t="shared" si="3"/>
        <v>Gold Power Bank (M)</v>
      </c>
      <c r="L69" t="str">
        <f t="shared" si="0"/>
        <v>Ethan</v>
      </c>
      <c r="M69" t="str">
        <f>SUBSTITUTE(Table1[[#This Row],[Raw_Address]], ", ", " - ")</f>
        <v>Nashville - TN</v>
      </c>
      <c r="N69" t="str">
        <f t="shared" si="1"/>
        <v>Q2-2026</v>
      </c>
      <c r="O69" t="str">
        <f t="shared" si="2"/>
        <v>INV/00066/APR</v>
      </c>
    </row>
    <row r="70" spans="1:15" x14ac:dyDescent="0.35">
      <c r="A70" s="3" t="s">
        <v>1640</v>
      </c>
      <c r="B70" s="3" t="s">
        <v>1419</v>
      </c>
      <c r="C70" s="3" t="s">
        <v>18</v>
      </c>
      <c r="D70" s="3" t="s">
        <v>1432</v>
      </c>
      <c r="E70" s="3" t="s">
        <v>1483</v>
      </c>
      <c r="F70" t="s">
        <v>1641</v>
      </c>
      <c r="G70" t="s">
        <v>1485</v>
      </c>
      <c r="H70" s="7">
        <v>46226</v>
      </c>
      <c r="I70" s="7">
        <v>46247</v>
      </c>
      <c r="J70" t="s">
        <v>2550</v>
      </c>
      <c r="K70" t="str">
        <f t="shared" si="3"/>
        <v>White Tablet (XL)</v>
      </c>
      <c r="L70" t="str">
        <f t="shared" si="0"/>
        <v>Evelyn</v>
      </c>
      <c r="M70" t="str">
        <f>SUBSTITUTE(Table1[[#This Row],[Raw_Address]], ", ", " - ")</f>
        <v>Minneapolis - MN</v>
      </c>
      <c r="N70" t="str">
        <f t="shared" si="1"/>
        <v>Q3-2026</v>
      </c>
      <c r="O70" t="str">
        <f t="shared" si="2"/>
        <v>INV/00067/JUL</v>
      </c>
    </row>
    <row r="71" spans="1:15" x14ac:dyDescent="0.35">
      <c r="A71" s="3" t="s">
        <v>1642</v>
      </c>
      <c r="B71" s="3" t="s">
        <v>1430</v>
      </c>
      <c r="C71" s="3" t="s">
        <v>1431</v>
      </c>
      <c r="D71" s="3" t="s">
        <v>1443</v>
      </c>
      <c r="E71" s="3" t="s">
        <v>1487</v>
      </c>
      <c r="F71" t="s">
        <v>1643</v>
      </c>
      <c r="G71" t="s">
        <v>1489</v>
      </c>
      <c r="H71" s="7">
        <v>46323</v>
      </c>
      <c r="I71" s="7">
        <v>46347</v>
      </c>
      <c r="J71" t="s">
        <v>2551</v>
      </c>
      <c r="K71" t="str">
        <f t="shared" si="3"/>
        <v>Gold Mouse (S)</v>
      </c>
      <c r="L71" t="str">
        <f t="shared" si="0"/>
        <v>Scarlett</v>
      </c>
      <c r="M71" t="str">
        <f>SUBSTITUTE(Table1[[#This Row],[Raw_Address]], ", ", " - ")</f>
        <v>Atlanta - GA</v>
      </c>
      <c r="N71" t="str">
        <f t="shared" si="1"/>
        <v>Q4-2026</v>
      </c>
      <c r="O71" t="str">
        <f t="shared" si="2"/>
        <v>INV/00068/OCT</v>
      </c>
    </row>
    <row r="72" spans="1:15" x14ac:dyDescent="0.35">
      <c r="A72" s="3" t="s">
        <v>1644</v>
      </c>
      <c r="B72" s="3" t="s">
        <v>1442</v>
      </c>
      <c r="C72" s="3" t="s">
        <v>18</v>
      </c>
      <c r="D72" s="3" t="s">
        <v>1454</v>
      </c>
      <c r="E72" s="3" t="s">
        <v>1491</v>
      </c>
      <c r="F72" t="s">
        <v>1645</v>
      </c>
      <c r="G72" t="s">
        <v>1493</v>
      </c>
      <c r="H72" s="7">
        <v>46027</v>
      </c>
      <c r="I72" s="7">
        <v>46054</v>
      </c>
      <c r="J72" t="s">
        <v>2552</v>
      </c>
      <c r="K72" t="str">
        <f t="shared" si="3"/>
        <v>White Camera (L)</v>
      </c>
      <c r="L72" t="str">
        <f t="shared" si="0"/>
        <v>Sofia</v>
      </c>
      <c r="M72" t="str">
        <f>SUBSTITUTE(Table1[[#This Row],[Raw_Address]], ", ", " - ")</f>
        <v>Tampa - FL</v>
      </c>
      <c r="N72" t="str">
        <f t="shared" si="1"/>
        <v>Q1-2026</v>
      </c>
      <c r="O72" t="str">
        <f t="shared" si="2"/>
        <v>INV/00069/JAN</v>
      </c>
    </row>
    <row r="73" spans="1:15" x14ac:dyDescent="0.35">
      <c r="A73" s="3" t="s">
        <v>1646</v>
      </c>
      <c r="B73" s="3" t="s">
        <v>1453</v>
      </c>
      <c r="C73" s="3" t="s">
        <v>1431</v>
      </c>
      <c r="D73" s="3" t="s">
        <v>1465</v>
      </c>
      <c r="E73" s="3" t="s">
        <v>1495</v>
      </c>
      <c r="F73" t="s">
        <v>1647</v>
      </c>
      <c r="G73" t="s">
        <v>1497</v>
      </c>
      <c r="H73" s="7">
        <v>46122</v>
      </c>
      <c r="I73" s="7">
        <v>46152</v>
      </c>
      <c r="J73" t="s">
        <v>2553</v>
      </c>
      <c r="K73" t="str">
        <f t="shared" si="3"/>
        <v>Gold Desk Lamp (XS)</v>
      </c>
      <c r="L73" t="str">
        <f t="shared" si="0"/>
        <v>Priya</v>
      </c>
      <c r="M73" t="str">
        <f>SUBSTITUTE(Table1[[#This Row],[Raw_Address]], ", ", " - ")</f>
        <v>Phoenix - AZ</v>
      </c>
      <c r="N73" t="str">
        <f t="shared" si="1"/>
        <v>Q2-2026</v>
      </c>
      <c r="O73" t="str">
        <f t="shared" si="2"/>
        <v>INV/00070/APR</v>
      </c>
    </row>
    <row r="74" spans="1:15" x14ac:dyDescent="0.35">
      <c r="A74" s="3" t="s">
        <v>1648</v>
      </c>
      <c r="B74" s="3" t="s">
        <v>1464</v>
      </c>
      <c r="C74" s="3" t="s">
        <v>18</v>
      </c>
      <c r="D74" s="3" t="s">
        <v>1420</v>
      </c>
      <c r="E74" s="3" t="s">
        <v>1499</v>
      </c>
      <c r="F74" t="s">
        <v>1649</v>
      </c>
      <c r="G74" t="s">
        <v>1501</v>
      </c>
      <c r="H74" s="7">
        <v>46218</v>
      </c>
      <c r="I74" s="7">
        <v>46221</v>
      </c>
      <c r="J74" t="s">
        <v>2554</v>
      </c>
      <c r="K74" t="str">
        <f t="shared" si="3"/>
        <v>White Notebook (M)</v>
      </c>
      <c r="L74" t="str">
        <f t="shared" si="0"/>
        <v>Kabir</v>
      </c>
      <c r="M74" t="str">
        <f>SUBSTITUTE(Table1[[#This Row],[Raw_Address]], ", ", " - ")</f>
        <v>Raleigh - NC</v>
      </c>
      <c r="N74" t="str">
        <f t="shared" si="1"/>
        <v>Q3-2026</v>
      </c>
      <c r="O74" t="str">
        <f t="shared" si="2"/>
        <v>INV/00071/JUL</v>
      </c>
    </row>
    <row r="75" spans="1:15" x14ac:dyDescent="0.35">
      <c r="A75" s="3" t="s">
        <v>1650</v>
      </c>
      <c r="B75" s="3" t="s">
        <v>1474</v>
      </c>
      <c r="C75" s="3" t="s">
        <v>1431</v>
      </c>
      <c r="D75" s="3" t="s">
        <v>1432</v>
      </c>
      <c r="E75" s="3" t="s">
        <v>1503</v>
      </c>
      <c r="F75" t="s">
        <v>1651</v>
      </c>
      <c r="G75" t="s">
        <v>1505</v>
      </c>
      <c r="H75" s="7">
        <v>46315</v>
      </c>
      <c r="I75" s="7">
        <v>46321</v>
      </c>
      <c r="J75" t="s">
        <v>2555</v>
      </c>
      <c r="K75" t="str">
        <f t="shared" si="3"/>
        <v>Gold Power Bank (XL)</v>
      </c>
      <c r="L75" t="str">
        <f t="shared" ref="L75:L138" si="4">REPLACE(F75, 1, FIND(", ", F75) + 1, "")</f>
        <v>Fatima</v>
      </c>
      <c r="M75" t="str">
        <f>SUBSTITUTE(Table1[[#This Row],[Raw_Address]], ", ", " - ")</f>
        <v>Miami - FL</v>
      </c>
      <c r="N75" t="str">
        <f t="shared" ref="N75:N138" si="5">"Q" &amp; ROUNDUP(MONTH(H75)/3, 0) &amp; "-" &amp; YEAR(H75)</f>
        <v>Q4-2026</v>
      </c>
      <c r="O75" t="str">
        <f t="shared" ref="O75:O138" si="6">"INV/" &amp; RIGHT(A75, 5) &amp; "/" &amp; UPPER(TEXT(H75, "mmm"))</f>
        <v>INV/00072/OCT</v>
      </c>
    </row>
    <row r="76" spans="1:15" x14ac:dyDescent="0.35">
      <c r="A76" s="3" t="s">
        <v>1652</v>
      </c>
      <c r="B76" s="3" t="s">
        <v>1419</v>
      </c>
      <c r="C76" s="3" t="s">
        <v>18</v>
      </c>
      <c r="D76" s="3" t="s">
        <v>1443</v>
      </c>
      <c r="E76" s="3" t="s">
        <v>1507</v>
      </c>
      <c r="F76" t="s">
        <v>1653</v>
      </c>
      <c r="G76" t="s">
        <v>1509</v>
      </c>
      <c r="H76" s="7">
        <v>46047</v>
      </c>
      <c r="I76" s="7">
        <v>46056</v>
      </c>
      <c r="J76" t="s">
        <v>2550</v>
      </c>
      <c r="K76" t="str">
        <f t="shared" ref="K76:K139" si="7">C76 &amp; " " &amp; B76 &amp; " (" &amp; D76 &amp; ")"</f>
        <v>White Tablet (S)</v>
      </c>
      <c r="L76" t="str">
        <f t="shared" si="4"/>
        <v>Grace</v>
      </c>
      <c r="M76" t="str">
        <f>SUBSTITUTE(Table1[[#This Row],[Raw_Address]], ", ", " - ")</f>
        <v>Charlotte - NC</v>
      </c>
      <c r="N76" t="str">
        <f t="shared" si="5"/>
        <v>Q1-2026</v>
      </c>
      <c r="O76" t="str">
        <f t="shared" si="6"/>
        <v>INV/00073/JAN</v>
      </c>
    </row>
    <row r="77" spans="1:15" x14ac:dyDescent="0.35">
      <c r="A77" s="3" t="s">
        <v>1654</v>
      </c>
      <c r="B77" s="3" t="s">
        <v>1430</v>
      </c>
      <c r="C77" s="3" t="s">
        <v>1431</v>
      </c>
      <c r="D77" s="3" t="s">
        <v>1454</v>
      </c>
      <c r="E77" s="3" t="s">
        <v>1511</v>
      </c>
      <c r="F77" t="s">
        <v>1655</v>
      </c>
      <c r="G77" t="s">
        <v>1513</v>
      </c>
      <c r="H77" s="7">
        <v>46114</v>
      </c>
      <c r="I77" s="7">
        <v>46126</v>
      </c>
      <c r="J77" t="s">
        <v>2551</v>
      </c>
      <c r="K77" t="str">
        <f t="shared" si="7"/>
        <v>Gold Mouse (L)</v>
      </c>
      <c r="L77" t="str">
        <f t="shared" si="4"/>
        <v>David</v>
      </c>
      <c r="M77" t="str">
        <f>SUBSTITUTE(Table1[[#This Row],[Raw_Address]], ", ", " - ")</f>
        <v>Austin - TX</v>
      </c>
      <c r="N77" t="str">
        <f t="shared" si="5"/>
        <v>Q2-2026</v>
      </c>
      <c r="O77" t="str">
        <f t="shared" si="6"/>
        <v>INV/00074/APR</v>
      </c>
    </row>
    <row r="78" spans="1:15" x14ac:dyDescent="0.35">
      <c r="A78" s="3" t="s">
        <v>1656</v>
      </c>
      <c r="B78" s="3" t="s">
        <v>1442</v>
      </c>
      <c r="C78" s="3" t="s">
        <v>18</v>
      </c>
      <c r="D78" s="3" t="s">
        <v>1465</v>
      </c>
      <c r="E78" s="3" t="s">
        <v>1515</v>
      </c>
      <c r="F78" t="s">
        <v>1657</v>
      </c>
      <c r="G78" t="s">
        <v>1517</v>
      </c>
      <c r="H78" s="7">
        <v>46210</v>
      </c>
      <c r="I78" s="7">
        <v>46225</v>
      </c>
      <c r="J78" t="s">
        <v>2552</v>
      </c>
      <c r="K78" t="str">
        <f t="shared" si="7"/>
        <v>White Camera (XS)</v>
      </c>
      <c r="L78" t="str">
        <f t="shared" si="4"/>
        <v>Anaya</v>
      </c>
      <c r="M78" t="str">
        <f>SUBSTITUTE(Table1[[#This Row],[Raw_Address]], ", ", " - ")</f>
        <v>San Diego - CA</v>
      </c>
      <c r="N78" t="str">
        <f t="shared" si="5"/>
        <v>Q3-2026</v>
      </c>
      <c r="O78" t="str">
        <f t="shared" si="6"/>
        <v>INV/00075/JUL</v>
      </c>
    </row>
    <row r="79" spans="1:15" x14ac:dyDescent="0.35">
      <c r="A79" s="3" t="s">
        <v>1658</v>
      </c>
      <c r="B79" s="3" t="s">
        <v>1453</v>
      </c>
      <c r="C79" s="3" t="s">
        <v>1431</v>
      </c>
      <c r="D79" s="3" t="s">
        <v>1420</v>
      </c>
      <c r="E79" s="3" t="s">
        <v>1519</v>
      </c>
      <c r="F79" t="s">
        <v>1659</v>
      </c>
      <c r="G79" t="s">
        <v>1521</v>
      </c>
      <c r="H79" s="7">
        <v>46307</v>
      </c>
      <c r="I79" s="7">
        <v>46325</v>
      </c>
      <c r="J79" t="s">
        <v>2553</v>
      </c>
      <c r="K79" t="str">
        <f t="shared" si="7"/>
        <v>Gold Desk Lamp (M)</v>
      </c>
      <c r="L79" t="str">
        <f t="shared" si="4"/>
        <v>Emma</v>
      </c>
      <c r="M79" t="str">
        <f>SUBSTITUTE(Table1[[#This Row],[Raw_Address]], ", ", " - ")</f>
        <v>Kansas City - MO</v>
      </c>
      <c r="N79" t="str">
        <f t="shared" si="5"/>
        <v>Q4-2026</v>
      </c>
      <c r="O79" t="str">
        <f t="shared" si="6"/>
        <v>INV/00076/OCT</v>
      </c>
    </row>
    <row r="80" spans="1:15" x14ac:dyDescent="0.35">
      <c r="A80" s="3" t="s">
        <v>1660</v>
      </c>
      <c r="B80" s="3" t="s">
        <v>1464</v>
      </c>
      <c r="C80" s="3" t="s">
        <v>18</v>
      </c>
      <c r="D80" s="3" t="s">
        <v>1432</v>
      </c>
      <c r="E80" s="3" t="s">
        <v>1523</v>
      </c>
      <c r="F80" t="s">
        <v>1661</v>
      </c>
      <c r="G80" t="s">
        <v>1525</v>
      </c>
      <c r="H80" s="7">
        <v>46039</v>
      </c>
      <c r="I80" s="7">
        <v>46060</v>
      </c>
      <c r="J80" t="s">
        <v>2554</v>
      </c>
      <c r="K80" t="str">
        <f t="shared" si="7"/>
        <v>White Notebook (XL)</v>
      </c>
      <c r="L80" t="str">
        <f t="shared" si="4"/>
        <v>Mason</v>
      </c>
      <c r="M80" t="str">
        <f>SUBSTITUTE(Table1[[#This Row],[Raw_Address]], ", ", " - ")</f>
        <v>Portland - OR</v>
      </c>
      <c r="N80" t="str">
        <f t="shared" si="5"/>
        <v>Q1-2026</v>
      </c>
      <c r="O80" t="str">
        <f t="shared" si="6"/>
        <v>INV/00077/JAN</v>
      </c>
    </row>
    <row r="81" spans="1:15" x14ac:dyDescent="0.35">
      <c r="A81" s="3" t="s">
        <v>1662</v>
      </c>
      <c r="B81" s="3" t="s">
        <v>1474</v>
      </c>
      <c r="C81" s="3" t="s">
        <v>1431</v>
      </c>
      <c r="D81" s="3" t="s">
        <v>1443</v>
      </c>
      <c r="E81" s="3" t="s">
        <v>1527</v>
      </c>
      <c r="F81" t="s">
        <v>1663</v>
      </c>
      <c r="G81" t="s">
        <v>1529</v>
      </c>
      <c r="H81" s="7">
        <v>46134</v>
      </c>
      <c r="I81" s="7">
        <v>46158</v>
      </c>
      <c r="J81" t="s">
        <v>2555</v>
      </c>
      <c r="K81" t="str">
        <f t="shared" si="7"/>
        <v>Gold Power Bank (S)</v>
      </c>
      <c r="L81" t="str">
        <f t="shared" si="4"/>
        <v>Amelia</v>
      </c>
      <c r="M81" t="str">
        <f>SUBSTITUTE(Table1[[#This Row],[Raw_Address]], ", ", " - ")</f>
        <v>Las Vegas - NV</v>
      </c>
      <c r="N81" t="str">
        <f t="shared" si="5"/>
        <v>Q2-2026</v>
      </c>
      <c r="O81" t="str">
        <f t="shared" si="6"/>
        <v>INV/00078/APR</v>
      </c>
    </row>
    <row r="82" spans="1:15" x14ac:dyDescent="0.35">
      <c r="A82" s="3" t="s">
        <v>1664</v>
      </c>
      <c r="B82" s="3" t="s">
        <v>1419</v>
      </c>
      <c r="C82" s="3" t="s">
        <v>18</v>
      </c>
      <c r="D82" s="3" t="s">
        <v>1454</v>
      </c>
      <c r="E82" s="3" t="s">
        <v>1531</v>
      </c>
      <c r="F82" t="s">
        <v>1665</v>
      </c>
      <c r="G82" t="s">
        <v>1533</v>
      </c>
      <c r="H82" s="7">
        <v>46230</v>
      </c>
      <c r="I82" s="7">
        <v>46257</v>
      </c>
      <c r="J82" t="s">
        <v>2550</v>
      </c>
      <c r="K82" t="str">
        <f t="shared" si="7"/>
        <v>White Tablet (L)</v>
      </c>
      <c r="L82" t="str">
        <f t="shared" si="4"/>
        <v>Charlotte</v>
      </c>
      <c r="M82" t="str">
        <f>SUBSTITUTE(Table1[[#This Row],[Raw_Address]], ", ", " - ")</f>
        <v>Chicago - IL</v>
      </c>
      <c r="N82" t="str">
        <f t="shared" si="5"/>
        <v>Q3-2026</v>
      </c>
      <c r="O82" t="str">
        <f t="shared" si="6"/>
        <v>INV/00079/JUL</v>
      </c>
    </row>
    <row r="83" spans="1:15" x14ac:dyDescent="0.35">
      <c r="A83" s="3" t="s">
        <v>1666</v>
      </c>
      <c r="B83" s="3" t="s">
        <v>1430</v>
      </c>
      <c r="C83" s="3" t="s">
        <v>1431</v>
      </c>
      <c r="D83" s="3" t="s">
        <v>1465</v>
      </c>
      <c r="E83" s="3" t="s">
        <v>1535</v>
      </c>
      <c r="F83" t="s">
        <v>1667</v>
      </c>
      <c r="G83" t="s">
        <v>1537</v>
      </c>
      <c r="H83" s="7">
        <v>46299</v>
      </c>
      <c r="I83" s="7">
        <v>46329</v>
      </c>
      <c r="J83" t="s">
        <v>2551</v>
      </c>
      <c r="K83" t="str">
        <f t="shared" si="7"/>
        <v>Gold Mouse (XS)</v>
      </c>
      <c r="L83" t="str">
        <f t="shared" si="4"/>
        <v>Henry</v>
      </c>
      <c r="M83" t="str">
        <f>SUBSTITUTE(Table1[[#This Row],[Raw_Address]], ", ", " - ")</f>
        <v>Detroit - MI</v>
      </c>
      <c r="N83" t="str">
        <f t="shared" si="5"/>
        <v>Q4-2026</v>
      </c>
      <c r="O83" t="str">
        <f t="shared" si="6"/>
        <v>INV/00080/OCT</v>
      </c>
    </row>
    <row r="84" spans="1:15" x14ac:dyDescent="0.35">
      <c r="A84" s="3" t="s">
        <v>1668</v>
      </c>
      <c r="B84" s="3" t="s">
        <v>1442</v>
      </c>
      <c r="C84" s="3" t="s">
        <v>18</v>
      </c>
      <c r="D84" s="3" t="s">
        <v>1420</v>
      </c>
      <c r="E84" s="3" t="s">
        <v>1539</v>
      </c>
      <c r="F84" t="s">
        <v>1669</v>
      </c>
      <c r="G84" t="s">
        <v>1423</v>
      </c>
      <c r="H84" s="7">
        <v>46031</v>
      </c>
      <c r="I84" s="7">
        <v>46034</v>
      </c>
      <c r="J84" t="s">
        <v>2552</v>
      </c>
      <c r="K84" t="str">
        <f t="shared" si="7"/>
        <v>White Camera (M)</v>
      </c>
      <c r="L84" t="str">
        <f t="shared" si="4"/>
        <v>Michael</v>
      </c>
      <c r="M84" t="str">
        <f>SUBSTITUTE(Table1[[#This Row],[Raw_Address]], ", ", " - ")</f>
        <v>Boston - MA</v>
      </c>
      <c r="N84" t="str">
        <f t="shared" si="5"/>
        <v>Q1-2026</v>
      </c>
      <c r="O84" t="str">
        <f t="shared" si="6"/>
        <v>INV/00081/JAN</v>
      </c>
    </row>
    <row r="85" spans="1:15" x14ac:dyDescent="0.35">
      <c r="A85" s="3" t="s">
        <v>1670</v>
      </c>
      <c r="B85" s="3" t="s">
        <v>1453</v>
      </c>
      <c r="C85" s="3" t="s">
        <v>1431</v>
      </c>
      <c r="D85" s="3" t="s">
        <v>1432</v>
      </c>
      <c r="E85" s="3" t="s">
        <v>1542</v>
      </c>
      <c r="F85" t="s">
        <v>1671</v>
      </c>
      <c r="G85" t="s">
        <v>1435</v>
      </c>
      <c r="H85" s="7">
        <v>46126</v>
      </c>
      <c r="I85" s="7">
        <v>46132</v>
      </c>
      <c r="J85" t="s">
        <v>2553</v>
      </c>
      <c r="K85" t="str">
        <f t="shared" si="7"/>
        <v>Gold Desk Lamp (XL)</v>
      </c>
      <c r="L85" t="str">
        <f t="shared" si="4"/>
        <v>Mateo</v>
      </c>
      <c r="M85" t="str">
        <f>SUBSTITUTE(Table1[[#This Row],[Raw_Address]], ", ", " - ")</f>
        <v>Columbus - OH</v>
      </c>
      <c r="N85" t="str">
        <f t="shared" si="5"/>
        <v>Q2-2026</v>
      </c>
      <c r="O85" t="str">
        <f t="shared" si="6"/>
        <v>INV/00082/APR</v>
      </c>
    </row>
    <row r="86" spans="1:15" x14ac:dyDescent="0.35">
      <c r="A86" s="3" t="s">
        <v>1672</v>
      </c>
      <c r="B86" s="3" t="s">
        <v>1464</v>
      </c>
      <c r="C86" s="3" t="s">
        <v>18</v>
      </c>
      <c r="D86" s="3" t="s">
        <v>1443</v>
      </c>
      <c r="E86" s="3" t="s">
        <v>1545</v>
      </c>
      <c r="F86" t="s">
        <v>1673</v>
      </c>
      <c r="G86" t="s">
        <v>1446</v>
      </c>
      <c r="H86" s="7">
        <v>46222</v>
      </c>
      <c r="I86" s="7">
        <v>46231</v>
      </c>
      <c r="J86" t="s">
        <v>2554</v>
      </c>
      <c r="K86" t="str">
        <f t="shared" si="7"/>
        <v>White Notebook (S)</v>
      </c>
      <c r="L86" t="str">
        <f t="shared" si="4"/>
        <v>Sana</v>
      </c>
      <c r="M86" t="str">
        <f>SUBSTITUTE(Table1[[#This Row],[Raw_Address]], ", ", " - ")</f>
        <v>Denver - CO</v>
      </c>
      <c r="N86" t="str">
        <f t="shared" si="5"/>
        <v>Q3-2026</v>
      </c>
      <c r="O86" t="str">
        <f t="shared" si="6"/>
        <v>INV/00083/JUL</v>
      </c>
    </row>
    <row r="87" spans="1:15" x14ac:dyDescent="0.35">
      <c r="A87" s="3" t="s">
        <v>1674</v>
      </c>
      <c r="B87" s="3" t="s">
        <v>1474</v>
      </c>
      <c r="C87" s="3" t="s">
        <v>1431</v>
      </c>
      <c r="D87" s="3" t="s">
        <v>1454</v>
      </c>
      <c r="E87" s="3" t="s">
        <v>1548</v>
      </c>
      <c r="F87" t="s">
        <v>1675</v>
      </c>
      <c r="G87" t="s">
        <v>1457</v>
      </c>
      <c r="H87" s="7">
        <v>46319</v>
      </c>
      <c r="I87" s="7">
        <v>46331</v>
      </c>
      <c r="J87" t="s">
        <v>2555</v>
      </c>
      <c r="K87" t="str">
        <f t="shared" si="7"/>
        <v>Gold Power Bank (L)</v>
      </c>
      <c r="L87" t="str">
        <f t="shared" si="4"/>
        <v>Omar</v>
      </c>
      <c r="M87" t="str">
        <f>SUBSTITUTE(Table1[[#This Row],[Raw_Address]], ", ", " - ")</f>
        <v>Dallas - TX</v>
      </c>
      <c r="N87" t="str">
        <f t="shared" si="5"/>
        <v>Q4-2026</v>
      </c>
      <c r="O87" t="str">
        <f t="shared" si="6"/>
        <v>INV/00084/OCT</v>
      </c>
    </row>
    <row r="88" spans="1:15" x14ac:dyDescent="0.35">
      <c r="A88" s="3" t="s">
        <v>1676</v>
      </c>
      <c r="B88" s="3" t="s">
        <v>1419</v>
      </c>
      <c r="C88" s="3" t="s">
        <v>18</v>
      </c>
      <c r="D88" s="3" t="s">
        <v>1465</v>
      </c>
      <c r="E88" s="3" t="s">
        <v>1551</v>
      </c>
      <c r="F88" t="s">
        <v>1677</v>
      </c>
      <c r="G88" t="s">
        <v>1468</v>
      </c>
      <c r="H88" s="7">
        <v>46023</v>
      </c>
      <c r="I88" s="7">
        <v>46038</v>
      </c>
      <c r="J88" t="s">
        <v>2550</v>
      </c>
      <c r="K88" t="str">
        <f t="shared" si="7"/>
        <v>White Tablet (XS)</v>
      </c>
      <c r="L88" t="str">
        <f t="shared" si="4"/>
        <v>Nina</v>
      </c>
      <c r="M88" t="str">
        <f>SUBSTITUTE(Table1[[#This Row],[Raw_Address]], ", ", " - ")</f>
        <v>Seattle - WA</v>
      </c>
      <c r="N88" t="str">
        <f t="shared" si="5"/>
        <v>Q1-2026</v>
      </c>
      <c r="O88" t="str">
        <f t="shared" si="6"/>
        <v>INV/00085/JAN</v>
      </c>
    </row>
    <row r="89" spans="1:15" x14ac:dyDescent="0.35">
      <c r="A89" s="3" t="s">
        <v>1678</v>
      </c>
      <c r="B89" s="3" t="s">
        <v>1430</v>
      </c>
      <c r="C89" s="3" t="s">
        <v>1431</v>
      </c>
      <c r="D89" s="3" t="s">
        <v>1420</v>
      </c>
      <c r="E89" s="3" t="s">
        <v>1554</v>
      </c>
      <c r="F89" t="s">
        <v>1679</v>
      </c>
      <c r="G89" t="s">
        <v>1477</v>
      </c>
      <c r="H89" s="7">
        <v>46118</v>
      </c>
      <c r="I89" s="7">
        <v>46136</v>
      </c>
      <c r="J89" t="s">
        <v>2551</v>
      </c>
      <c r="K89" t="str">
        <f t="shared" si="7"/>
        <v>Gold Mouse (M)</v>
      </c>
      <c r="L89" t="str">
        <f t="shared" si="4"/>
        <v>Jack</v>
      </c>
      <c r="M89" t="str">
        <f>SUBSTITUTE(Table1[[#This Row],[Raw_Address]], ", ", " - ")</f>
        <v>Nashville - TN</v>
      </c>
      <c r="N89" t="str">
        <f t="shared" si="5"/>
        <v>Q2-2026</v>
      </c>
      <c r="O89" t="str">
        <f t="shared" si="6"/>
        <v>INV/00086/APR</v>
      </c>
    </row>
    <row r="90" spans="1:15" x14ac:dyDescent="0.35">
      <c r="A90" s="3" t="s">
        <v>1680</v>
      </c>
      <c r="B90" s="3" t="s">
        <v>1442</v>
      </c>
      <c r="C90" s="3" t="s">
        <v>18</v>
      </c>
      <c r="D90" s="3" t="s">
        <v>1432</v>
      </c>
      <c r="E90" s="3" t="s">
        <v>1557</v>
      </c>
      <c r="F90" t="s">
        <v>1681</v>
      </c>
      <c r="G90" t="s">
        <v>1485</v>
      </c>
      <c r="H90" s="7">
        <v>46214</v>
      </c>
      <c r="I90" s="7">
        <v>46235</v>
      </c>
      <c r="J90" t="s">
        <v>2552</v>
      </c>
      <c r="K90" t="str">
        <f t="shared" si="7"/>
        <v>White Camera (XL)</v>
      </c>
      <c r="L90" t="str">
        <f t="shared" si="4"/>
        <v>Victor</v>
      </c>
      <c r="M90" t="str">
        <f>SUBSTITUTE(Table1[[#This Row],[Raw_Address]], ", ", " - ")</f>
        <v>Minneapolis - MN</v>
      </c>
      <c r="N90" t="str">
        <f t="shared" si="5"/>
        <v>Q3-2026</v>
      </c>
      <c r="O90" t="str">
        <f t="shared" si="6"/>
        <v>INV/00087/JUL</v>
      </c>
    </row>
    <row r="91" spans="1:15" x14ac:dyDescent="0.35">
      <c r="A91" s="3" t="s">
        <v>1682</v>
      </c>
      <c r="B91" s="3" t="s">
        <v>1453</v>
      </c>
      <c r="C91" s="3" t="s">
        <v>1431</v>
      </c>
      <c r="D91" s="3" t="s">
        <v>1443</v>
      </c>
      <c r="E91" s="3" t="s">
        <v>1560</v>
      </c>
      <c r="F91" t="s">
        <v>39</v>
      </c>
      <c r="G91" t="s">
        <v>1489</v>
      </c>
      <c r="H91" s="7">
        <v>46311</v>
      </c>
      <c r="I91" s="7">
        <v>46335</v>
      </c>
      <c r="J91" t="s">
        <v>2553</v>
      </c>
      <c r="K91" t="str">
        <f t="shared" si="7"/>
        <v>Gold Desk Lamp (S)</v>
      </c>
      <c r="L91" t="str">
        <f t="shared" si="4"/>
        <v>Liam</v>
      </c>
      <c r="M91" t="str">
        <f>SUBSTITUTE(Table1[[#This Row],[Raw_Address]], ", ", " - ")</f>
        <v>Atlanta - GA</v>
      </c>
      <c r="N91" t="str">
        <f t="shared" si="5"/>
        <v>Q4-2026</v>
      </c>
      <c r="O91" t="str">
        <f t="shared" si="6"/>
        <v>INV/00088/OCT</v>
      </c>
    </row>
    <row r="92" spans="1:15" x14ac:dyDescent="0.35">
      <c r="A92" s="3" t="s">
        <v>1683</v>
      </c>
      <c r="B92" s="3" t="s">
        <v>1464</v>
      </c>
      <c r="C92" s="3" t="s">
        <v>18</v>
      </c>
      <c r="D92" s="3" t="s">
        <v>1454</v>
      </c>
      <c r="E92" s="3" t="s">
        <v>1563</v>
      </c>
      <c r="F92" t="s">
        <v>1684</v>
      </c>
      <c r="G92" t="s">
        <v>1493</v>
      </c>
      <c r="H92" s="7">
        <v>46043</v>
      </c>
      <c r="I92" s="7">
        <v>46070</v>
      </c>
      <c r="J92" t="s">
        <v>2554</v>
      </c>
      <c r="K92" t="str">
        <f t="shared" si="7"/>
        <v>White Notebook (L)</v>
      </c>
      <c r="L92" t="str">
        <f t="shared" si="4"/>
        <v>Elijah</v>
      </c>
      <c r="M92" t="str">
        <f>SUBSTITUTE(Table1[[#This Row],[Raw_Address]], ", ", " - ")</f>
        <v>Tampa - FL</v>
      </c>
      <c r="N92" t="str">
        <f t="shared" si="5"/>
        <v>Q1-2026</v>
      </c>
      <c r="O92" t="str">
        <f t="shared" si="6"/>
        <v>INV/00089/JAN</v>
      </c>
    </row>
    <row r="93" spans="1:15" x14ac:dyDescent="0.35">
      <c r="A93" s="3" t="s">
        <v>1685</v>
      </c>
      <c r="B93" s="3" t="s">
        <v>1474</v>
      </c>
      <c r="C93" s="3" t="s">
        <v>1431</v>
      </c>
      <c r="D93" s="3" t="s">
        <v>1465</v>
      </c>
      <c r="E93" s="3" t="s">
        <v>1566</v>
      </c>
      <c r="F93" t="s">
        <v>1686</v>
      </c>
      <c r="G93" t="s">
        <v>1497</v>
      </c>
      <c r="H93" s="7">
        <v>46138</v>
      </c>
      <c r="I93" s="7">
        <v>46168</v>
      </c>
      <c r="J93" t="s">
        <v>2555</v>
      </c>
      <c r="K93" t="str">
        <f t="shared" si="7"/>
        <v>Gold Power Bank (XS)</v>
      </c>
      <c r="L93" t="str">
        <f t="shared" si="4"/>
        <v>Lucas</v>
      </c>
      <c r="M93" t="str">
        <f>SUBSTITUTE(Table1[[#This Row],[Raw_Address]], ", ", " - ")</f>
        <v>Phoenix - AZ</v>
      </c>
      <c r="N93" t="str">
        <f t="shared" si="5"/>
        <v>Q2-2026</v>
      </c>
      <c r="O93" t="str">
        <f t="shared" si="6"/>
        <v>INV/00090/APR</v>
      </c>
    </row>
    <row r="94" spans="1:15" x14ac:dyDescent="0.35">
      <c r="A94" s="3" t="s">
        <v>1687</v>
      </c>
      <c r="B94" s="3" t="s">
        <v>1419</v>
      </c>
      <c r="C94" s="3" t="s">
        <v>18</v>
      </c>
      <c r="D94" s="3" t="s">
        <v>1420</v>
      </c>
      <c r="E94" s="3" t="s">
        <v>1421</v>
      </c>
      <c r="F94" t="s">
        <v>1688</v>
      </c>
      <c r="G94" t="s">
        <v>1501</v>
      </c>
      <c r="H94" s="7">
        <v>46206</v>
      </c>
      <c r="I94" s="7">
        <v>46209</v>
      </c>
      <c r="J94" t="s">
        <v>2550</v>
      </c>
      <c r="K94" t="str">
        <f t="shared" si="7"/>
        <v>White Tablet (M)</v>
      </c>
      <c r="L94" t="str">
        <f t="shared" si="4"/>
        <v>Ethan</v>
      </c>
      <c r="M94" t="str">
        <f>SUBSTITUTE(Table1[[#This Row],[Raw_Address]], ", ", " - ")</f>
        <v>Raleigh - NC</v>
      </c>
      <c r="N94" t="str">
        <f t="shared" si="5"/>
        <v>Q3-2026</v>
      </c>
      <c r="O94" t="str">
        <f t="shared" si="6"/>
        <v>INV/00091/JUL</v>
      </c>
    </row>
    <row r="95" spans="1:15" x14ac:dyDescent="0.35">
      <c r="A95" s="3" t="s">
        <v>1689</v>
      </c>
      <c r="B95" s="3" t="s">
        <v>1430</v>
      </c>
      <c r="C95" s="3" t="s">
        <v>1431</v>
      </c>
      <c r="D95" s="3" t="s">
        <v>1432</v>
      </c>
      <c r="E95" s="3" t="s">
        <v>1433</v>
      </c>
      <c r="F95" t="s">
        <v>1690</v>
      </c>
      <c r="G95" t="s">
        <v>1505</v>
      </c>
      <c r="H95" s="7">
        <v>46303</v>
      </c>
      <c r="I95" s="7">
        <v>46309</v>
      </c>
      <c r="J95" t="s">
        <v>2551</v>
      </c>
      <c r="K95" t="str">
        <f t="shared" si="7"/>
        <v>Gold Mouse (XL)</v>
      </c>
      <c r="L95" t="str">
        <f t="shared" si="4"/>
        <v>Evelyn</v>
      </c>
      <c r="M95" t="str">
        <f>SUBSTITUTE(Table1[[#This Row],[Raw_Address]], ", ", " - ")</f>
        <v>Miami - FL</v>
      </c>
      <c r="N95" t="str">
        <f t="shared" si="5"/>
        <v>Q4-2026</v>
      </c>
      <c r="O95" t="str">
        <f t="shared" si="6"/>
        <v>INV/00092/OCT</v>
      </c>
    </row>
    <row r="96" spans="1:15" x14ac:dyDescent="0.35">
      <c r="A96" s="3" t="s">
        <v>1691</v>
      </c>
      <c r="B96" s="3" t="s">
        <v>1442</v>
      </c>
      <c r="C96" s="3" t="s">
        <v>18</v>
      </c>
      <c r="D96" s="3" t="s">
        <v>1443</v>
      </c>
      <c r="E96" s="3" t="s">
        <v>1444</v>
      </c>
      <c r="F96" t="s">
        <v>1692</v>
      </c>
      <c r="G96" t="s">
        <v>1509</v>
      </c>
      <c r="H96" s="7">
        <v>46035</v>
      </c>
      <c r="I96" s="7">
        <v>46044</v>
      </c>
      <c r="J96" t="s">
        <v>2552</v>
      </c>
      <c r="K96" t="str">
        <f t="shared" si="7"/>
        <v>White Camera (S)</v>
      </c>
      <c r="L96" t="str">
        <f t="shared" si="4"/>
        <v>Scarlett</v>
      </c>
      <c r="M96" t="str">
        <f>SUBSTITUTE(Table1[[#This Row],[Raw_Address]], ", ", " - ")</f>
        <v>Charlotte - NC</v>
      </c>
      <c r="N96" t="str">
        <f t="shared" si="5"/>
        <v>Q1-2026</v>
      </c>
      <c r="O96" t="str">
        <f t="shared" si="6"/>
        <v>INV/00093/JAN</v>
      </c>
    </row>
    <row r="97" spans="1:15" x14ac:dyDescent="0.35">
      <c r="A97" s="3" t="s">
        <v>1693</v>
      </c>
      <c r="B97" s="3" t="s">
        <v>1453</v>
      </c>
      <c r="C97" s="3" t="s">
        <v>1431</v>
      </c>
      <c r="D97" s="3" t="s">
        <v>1454</v>
      </c>
      <c r="E97" s="3" t="s">
        <v>1455</v>
      </c>
      <c r="F97" t="s">
        <v>1694</v>
      </c>
      <c r="G97" t="s">
        <v>1513</v>
      </c>
      <c r="H97" s="7">
        <v>46130</v>
      </c>
      <c r="I97" s="7">
        <v>46142</v>
      </c>
      <c r="J97" t="s">
        <v>2553</v>
      </c>
      <c r="K97" t="str">
        <f t="shared" si="7"/>
        <v>Gold Desk Lamp (L)</v>
      </c>
      <c r="L97" t="str">
        <f t="shared" si="4"/>
        <v>Sofia</v>
      </c>
      <c r="M97" t="str">
        <f>SUBSTITUTE(Table1[[#This Row],[Raw_Address]], ", ", " - ")</f>
        <v>Austin - TX</v>
      </c>
      <c r="N97" t="str">
        <f t="shared" si="5"/>
        <v>Q2-2026</v>
      </c>
      <c r="O97" t="str">
        <f t="shared" si="6"/>
        <v>INV/00094/APR</v>
      </c>
    </row>
    <row r="98" spans="1:15" x14ac:dyDescent="0.35">
      <c r="A98" s="3" t="s">
        <v>1695</v>
      </c>
      <c r="B98" s="3" t="s">
        <v>1464</v>
      </c>
      <c r="C98" s="3" t="s">
        <v>18</v>
      </c>
      <c r="D98" s="3" t="s">
        <v>1465</v>
      </c>
      <c r="E98" s="3" t="s">
        <v>1466</v>
      </c>
      <c r="F98" t="s">
        <v>1696</v>
      </c>
      <c r="G98" t="s">
        <v>1517</v>
      </c>
      <c r="H98" s="7">
        <v>46226</v>
      </c>
      <c r="I98" s="7">
        <v>46241</v>
      </c>
      <c r="J98" t="s">
        <v>2554</v>
      </c>
      <c r="K98" t="str">
        <f t="shared" si="7"/>
        <v>White Notebook (XS)</v>
      </c>
      <c r="L98" t="str">
        <f t="shared" si="4"/>
        <v>Priya</v>
      </c>
      <c r="M98" t="str">
        <f>SUBSTITUTE(Table1[[#This Row],[Raw_Address]], ", ", " - ")</f>
        <v>San Diego - CA</v>
      </c>
      <c r="N98" t="str">
        <f t="shared" si="5"/>
        <v>Q3-2026</v>
      </c>
      <c r="O98" t="str">
        <f t="shared" si="6"/>
        <v>INV/00095/JUL</v>
      </c>
    </row>
    <row r="99" spans="1:15" x14ac:dyDescent="0.35">
      <c r="A99" s="3" t="s">
        <v>1697</v>
      </c>
      <c r="B99" s="3" t="s">
        <v>1474</v>
      </c>
      <c r="C99" s="3" t="s">
        <v>1431</v>
      </c>
      <c r="D99" s="3" t="s">
        <v>1420</v>
      </c>
      <c r="E99" s="3" t="s">
        <v>1475</v>
      </c>
      <c r="F99" t="s">
        <v>1698</v>
      </c>
      <c r="G99" t="s">
        <v>1521</v>
      </c>
      <c r="H99" s="7">
        <v>46323</v>
      </c>
      <c r="I99" s="7">
        <v>46341</v>
      </c>
      <c r="J99" t="s">
        <v>2555</v>
      </c>
      <c r="K99" t="str">
        <f t="shared" si="7"/>
        <v>Gold Power Bank (M)</v>
      </c>
      <c r="L99" t="str">
        <f t="shared" si="4"/>
        <v>Kabir</v>
      </c>
      <c r="M99" t="str">
        <f>SUBSTITUTE(Table1[[#This Row],[Raw_Address]], ", ", " - ")</f>
        <v>Kansas City - MO</v>
      </c>
      <c r="N99" t="str">
        <f t="shared" si="5"/>
        <v>Q4-2026</v>
      </c>
      <c r="O99" t="str">
        <f t="shared" si="6"/>
        <v>INV/00096/OCT</v>
      </c>
    </row>
    <row r="100" spans="1:15" x14ac:dyDescent="0.35">
      <c r="A100" s="3" t="s">
        <v>1699</v>
      </c>
      <c r="B100" s="3" t="s">
        <v>1419</v>
      </c>
      <c r="C100" s="3" t="s">
        <v>18</v>
      </c>
      <c r="D100" s="3" t="s">
        <v>1432</v>
      </c>
      <c r="E100" s="3" t="s">
        <v>1483</v>
      </c>
      <c r="F100" t="s">
        <v>1700</v>
      </c>
      <c r="G100" t="s">
        <v>1525</v>
      </c>
      <c r="H100" s="7">
        <v>46027</v>
      </c>
      <c r="I100" s="7">
        <v>46048</v>
      </c>
      <c r="J100" t="s">
        <v>2550</v>
      </c>
      <c r="K100" t="str">
        <f t="shared" si="7"/>
        <v>White Tablet (XL)</v>
      </c>
      <c r="L100" t="str">
        <f t="shared" si="4"/>
        <v>Fatima</v>
      </c>
      <c r="M100" t="str">
        <f>SUBSTITUTE(Table1[[#This Row],[Raw_Address]], ", ", " - ")</f>
        <v>Portland - OR</v>
      </c>
      <c r="N100" t="str">
        <f t="shared" si="5"/>
        <v>Q1-2026</v>
      </c>
      <c r="O100" t="str">
        <f t="shared" si="6"/>
        <v>INV/00097/JAN</v>
      </c>
    </row>
    <row r="101" spans="1:15" x14ac:dyDescent="0.35">
      <c r="A101" s="3" t="s">
        <v>1701</v>
      </c>
      <c r="B101" s="3" t="s">
        <v>1430</v>
      </c>
      <c r="C101" s="3" t="s">
        <v>1431</v>
      </c>
      <c r="D101" s="3" t="s">
        <v>1443</v>
      </c>
      <c r="E101" s="3" t="s">
        <v>1487</v>
      </c>
      <c r="F101" t="s">
        <v>1702</v>
      </c>
      <c r="G101" t="s">
        <v>1529</v>
      </c>
      <c r="H101" s="7">
        <v>46122</v>
      </c>
      <c r="I101" s="7">
        <v>46146</v>
      </c>
      <c r="J101" t="s">
        <v>2551</v>
      </c>
      <c r="K101" t="str">
        <f t="shared" si="7"/>
        <v>Gold Mouse (S)</v>
      </c>
      <c r="L101" t="str">
        <f t="shared" si="4"/>
        <v>Grace</v>
      </c>
      <c r="M101" t="str">
        <f>SUBSTITUTE(Table1[[#This Row],[Raw_Address]], ", ", " - ")</f>
        <v>Las Vegas - NV</v>
      </c>
      <c r="N101" t="str">
        <f t="shared" si="5"/>
        <v>Q2-2026</v>
      </c>
      <c r="O101" t="str">
        <f t="shared" si="6"/>
        <v>INV/00098/APR</v>
      </c>
    </row>
    <row r="102" spans="1:15" x14ac:dyDescent="0.35">
      <c r="A102" s="3" t="s">
        <v>1703</v>
      </c>
      <c r="B102" s="3" t="s">
        <v>1442</v>
      </c>
      <c r="C102" s="3" t="s">
        <v>18</v>
      </c>
      <c r="D102" s="3" t="s">
        <v>1454</v>
      </c>
      <c r="E102" s="3" t="s">
        <v>1491</v>
      </c>
      <c r="F102" t="s">
        <v>1704</v>
      </c>
      <c r="G102" t="s">
        <v>1533</v>
      </c>
      <c r="H102" s="7">
        <v>46218</v>
      </c>
      <c r="I102" s="7">
        <v>46245</v>
      </c>
      <c r="J102" t="s">
        <v>2552</v>
      </c>
      <c r="K102" t="str">
        <f t="shared" si="7"/>
        <v>White Camera (L)</v>
      </c>
      <c r="L102" t="str">
        <f t="shared" si="4"/>
        <v>David</v>
      </c>
      <c r="M102" t="str">
        <f>SUBSTITUTE(Table1[[#This Row],[Raw_Address]], ", ", " - ")</f>
        <v>Chicago - IL</v>
      </c>
      <c r="N102" t="str">
        <f t="shared" si="5"/>
        <v>Q3-2026</v>
      </c>
      <c r="O102" t="str">
        <f t="shared" si="6"/>
        <v>INV/00099/JUL</v>
      </c>
    </row>
    <row r="103" spans="1:15" x14ac:dyDescent="0.35">
      <c r="A103" s="3" t="s">
        <v>1705</v>
      </c>
      <c r="B103" s="3" t="s">
        <v>1453</v>
      </c>
      <c r="C103" s="3" t="s">
        <v>1431</v>
      </c>
      <c r="D103" s="3" t="s">
        <v>1465</v>
      </c>
      <c r="E103" s="3" t="s">
        <v>1495</v>
      </c>
      <c r="F103" t="s">
        <v>1706</v>
      </c>
      <c r="G103" t="s">
        <v>1537</v>
      </c>
      <c r="H103" s="7">
        <v>46315</v>
      </c>
      <c r="I103" s="7">
        <v>46345</v>
      </c>
      <c r="J103" t="s">
        <v>2553</v>
      </c>
      <c r="K103" t="str">
        <f t="shared" si="7"/>
        <v>Gold Desk Lamp (XS)</v>
      </c>
      <c r="L103" t="str">
        <f t="shared" si="4"/>
        <v>Anaya</v>
      </c>
      <c r="M103" t="str">
        <f>SUBSTITUTE(Table1[[#This Row],[Raw_Address]], ", ", " - ")</f>
        <v>Detroit - MI</v>
      </c>
      <c r="N103" t="str">
        <f t="shared" si="5"/>
        <v>Q4-2026</v>
      </c>
      <c r="O103" t="str">
        <f t="shared" si="6"/>
        <v>INV/00100/OCT</v>
      </c>
    </row>
    <row r="104" spans="1:15" x14ac:dyDescent="0.35">
      <c r="A104" s="3" t="s">
        <v>1707</v>
      </c>
      <c r="B104" s="3" t="s">
        <v>1464</v>
      </c>
      <c r="C104" s="3" t="s">
        <v>18</v>
      </c>
      <c r="D104" s="3" t="s">
        <v>1420</v>
      </c>
      <c r="E104" s="3" t="s">
        <v>1499</v>
      </c>
      <c r="F104" t="s">
        <v>1422</v>
      </c>
      <c r="G104" t="s">
        <v>1423</v>
      </c>
      <c r="H104" s="7">
        <v>46047</v>
      </c>
      <c r="I104" s="7">
        <v>46050</v>
      </c>
      <c r="J104" t="s">
        <v>2554</v>
      </c>
      <c r="K104" t="str">
        <f t="shared" si="7"/>
        <v>White Notebook (M)</v>
      </c>
      <c r="L104" t="str">
        <f t="shared" si="4"/>
        <v>Emma</v>
      </c>
      <c r="M104" t="str">
        <f>SUBSTITUTE(Table1[[#This Row],[Raw_Address]], ", ", " - ")</f>
        <v>Boston - MA</v>
      </c>
      <c r="N104" t="str">
        <f t="shared" si="5"/>
        <v>Q1-2026</v>
      </c>
      <c r="O104" t="str">
        <f t="shared" si="6"/>
        <v>INV/00101/JAN</v>
      </c>
    </row>
    <row r="105" spans="1:15" x14ac:dyDescent="0.35">
      <c r="A105" s="3" t="s">
        <v>1708</v>
      </c>
      <c r="B105" s="3" t="s">
        <v>1474</v>
      </c>
      <c r="C105" s="3" t="s">
        <v>1431</v>
      </c>
      <c r="D105" s="3" t="s">
        <v>1432</v>
      </c>
      <c r="E105" s="3" t="s">
        <v>1503</v>
      </c>
      <c r="F105" t="s">
        <v>1434</v>
      </c>
      <c r="G105" t="s">
        <v>1435</v>
      </c>
      <c r="H105" s="7">
        <v>46114</v>
      </c>
      <c r="I105" s="7">
        <v>46120</v>
      </c>
      <c r="J105" t="s">
        <v>2555</v>
      </c>
      <c r="K105" t="str">
        <f t="shared" si="7"/>
        <v>Gold Power Bank (XL)</v>
      </c>
      <c r="L105" t="str">
        <f t="shared" si="4"/>
        <v>Mason</v>
      </c>
      <c r="M105" t="str">
        <f>SUBSTITUTE(Table1[[#This Row],[Raw_Address]], ", ", " - ")</f>
        <v>Columbus - OH</v>
      </c>
      <c r="N105" t="str">
        <f t="shared" si="5"/>
        <v>Q2-2026</v>
      </c>
      <c r="O105" t="str">
        <f t="shared" si="6"/>
        <v>INV/00102/APR</v>
      </c>
    </row>
    <row r="106" spans="1:15" x14ac:dyDescent="0.35">
      <c r="A106" s="3" t="s">
        <v>1709</v>
      </c>
      <c r="B106" s="3" t="s">
        <v>1419</v>
      </c>
      <c r="C106" s="3" t="s">
        <v>18</v>
      </c>
      <c r="D106" s="3" t="s">
        <v>1443</v>
      </c>
      <c r="E106" s="3" t="s">
        <v>1507</v>
      </c>
      <c r="F106" t="s">
        <v>1445</v>
      </c>
      <c r="G106" t="s">
        <v>1446</v>
      </c>
      <c r="H106" s="7">
        <v>46210</v>
      </c>
      <c r="I106" s="7">
        <v>46219</v>
      </c>
      <c r="J106" t="s">
        <v>2550</v>
      </c>
      <c r="K106" t="str">
        <f t="shared" si="7"/>
        <v>White Tablet (S)</v>
      </c>
      <c r="L106" t="str">
        <f t="shared" si="4"/>
        <v>Amelia</v>
      </c>
      <c r="M106" t="str">
        <f>SUBSTITUTE(Table1[[#This Row],[Raw_Address]], ", ", " - ")</f>
        <v>Denver - CO</v>
      </c>
      <c r="N106" t="str">
        <f t="shared" si="5"/>
        <v>Q3-2026</v>
      </c>
      <c r="O106" t="str">
        <f t="shared" si="6"/>
        <v>INV/00103/JUL</v>
      </c>
    </row>
    <row r="107" spans="1:15" x14ac:dyDescent="0.35">
      <c r="A107" s="3" t="s">
        <v>1710</v>
      </c>
      <c r="B107" s="3" t="s">
        <v>1430</v>
      </c>
      <c r="C107" s="3" t="s">
        <v>1431</v>
      </c>
      <c r="D107" s="3" t="s">
        <v>1454</v>
      </c>
      <c r="E107" s="3" t="s">
        <v>1511</v>
      </c>
      <c r="F107" t="s">
        <v>1456</v>
      </c>
      <c r="G107" t="s">
        <v>1457</v>
      </c>
      <c r="H107" s="7">
        <v>46307</v>
      </c>
      <c r="I107" s="7">
        <v>46319</v>
      </c>
      <c r="J107" t="s">
        <v>2551</v>
      </c>
      <c r="K107" t="str">
        <f t="shared" si="7"/>
        <v>Gold Mouse (L)</v>
      </c>
      <c r="L107" t="str">
        <f t="shared" si="4"/>
        <v>Charlotte</v>
      </c>
      <c r="M107" t="str">
        <f>SUBSTITUTE(Table1[[#This Row],[Raw_Address]], ", ", " - ")</f>
        <v>Dallas - TX</v>
      </c>
      <c r="N107" t="str">
        <f t="shared" si="5"/>
        <v>Q4-2026</v>
      </c>
      <c r="O107" t="str">
        <f t="shared" si="6"/>
        <v>INV/00104/OCT</v>
      </c>
    </row>
    <row r="108" spans="1:15" x14ac:dyDescent="0.35">
      <c r="A108" s="3" t="s">
        <v>1711</v>
      </c>
      <c r="B108" s="3" t="s">
        <v>1442</v>
      </c>
      <c r="C108" s="3" t="s">
        <v>18</v>
      </c>
      <c r="D108" s="3" t="s">
        <v>1465</v>
      </c>
      <c r="E108" s="3" t="s">
        <v>1515</v>
      </c>
      <c r="F108" t="s">
        <v>1467</v>
      </c>
      <c r="G108" t="s">
        <v>1468</v>
      </c>
      <c r="H108" s="7">
        <v>46039</v>
      </c>
      <c r="I108" s="7">
        <v>46054</v>
      </c>
      <c r="J108" t="s">
        <v>2552</v>
      </c>
      <c r="K108" t="str">
        <f t="shared" si="7"/>
        <v>White Camera (XS)</v>
      </c>
      <c r="L108" t="str">
        <f t="shared" si="4"/>
        <v>Henry</v>
      </c>
      <c r="M108" t="str">
        <f>SUBSTITUTE(Table1[[#This Row],[Raw_Address]], ", ", " - ")</f>
        <v>Seattle - WA</v>
      </c>
      <c r="N108" t="str">
        <f t="shared" si="5"/>
        <v>Q1-2026</v>
      </c>
      <c r="O108" t="str">
        <f t="shared" si="6"/>
        <v>INV/00105/JAN</v>
      </c>
    </row>
    <row r="109" spans="1:15" x14ac:dyDescent="0.35">
      <c r="A109" s="3" t="s">
        <v>1712</v>
      </c>
      <c r="B109" s="3" t="s">
        <v>1453</v>
      </c>
      <c r="C109" s="3" t="s">
        <v>1431</v>
      </c>
      <c r="D109" s="3" t="s">
        <v>1420</v>
      </c>
      <c r="E109" s="3" t="s">
        <v>1519</v>
      </c>
      <c r="F109" t="s">
        <v>1476</v>
      </c>
      <c r="G109" t="s">
        <v>1477</v>
      </c>
      <c r="H109" s="7">
        <v>46134</v>
      </c>
      <c r="I109" s="7">
        <v>46152</v>
      </c>
      <c r="J109" t="s">
        <v>2553</v>
      </c>
      <c r="K109" t="str">
        <f t="shared" si="7"/>
        <v>Gold Desk Lamp (M)</v>
      </c>
      <c r="L109" t="str">
        <f t="shared" si="4"/>
        <v>Michael</v>
      </c>
      <c r="M109" t="str">
        <f>SUBSTITUTE(Table1[[#This Row],[Raw_Address]], ", ", " - ")</f>
        <v>Nashville - TN</v>
      </c>
      <c r="N109" t="str">
        <f t="shared" si="5"/>
        <v>Q2-2026</v>
      </c>
      <c r="O109" t="str">
        <f t="shared" si="6"/>
        <v>INV/00106/APR</v>
      </c>
    </row>
    <row r="110" spans="1:15" x14ac:dyDescent="0.35">
      <c r="A110" s="3" t="s">
        <v>1713</v>
      </c>
      <c r="B110" s="3" t="s">
        <v>1464</v>
      </c>
      <c r="C110" s="3" t="s">
        <v>18</v>
      </c>
      <c r="D110" s="3" t="s">
        <v>1432</v>
      </c>
      <c r="E110" s="3" t="s">
        <v>1523</v>
      </c>
      <c r="F110" t="s">
        <v>1484</v>
      </c>
      <c r="G110" t="s">
        <v>1485</v>
      </c>
      <c r="H110" s="7">
        <v>46230</v>
      </c>
      <c r="I110" s="7">
        <v>46251</v>
      </c>
      <c r="J110" t="s">
        <v>2554</v>
      </c>
      <c r="K110" t="str">
        <f t="shared" si="7"/>
        <v>White Notebook (XL)</v>
      </c>
      <c r="L110" t="str">
        <f t="shared" si="4"/>
        <v>Mateo</v>
      </c>
      <c r="M110" t="str">
        <f>SUBSTITUTE(Table1[[#This Row],[Raw_Address]], ", ", " - ")</f>
        <v>Minneapolis - MN</v>
      </c>
      <c r="N110" t="str">
        <f t="shared" si="5"/>
        <v>Q3-2026</v>
      </c>
      <c r="O110" t="str">
        <f t="shared" si="6"/>
        <v>INV/00107/JUL</v>
      </c>
    </row>
    <row r="111" spans="1:15" x14ac:dyDescent="0.35">
      <c r="A111" s="3" t="s">
        <v>1714</v>
      </c>
      <c r="B111" s="3" t="s">
        <v>1474</v>
      </c>
      <c r="C111" s="3" t="s">
        <v>1431</v>
      </c>
      <c r="D111" s="3" t="s">
        <v>1443</v>
      </c>
      <c r="E111" s="3" t="s">
        <v>1527</v>
      </c>
      <c r="F111" t="s">
        <v>1488</v>
      </c>
      <c r="G111" t="s">
        <v>1489</v>
      </c>
      <c r="H111" s="7">
        <v>46299</v>
      </c>
      <c r="I111" s="7">
        <v>46323</v>
      </c>
      <c r="J111" t="s">
        <v>2555</v>
      </c>
      <c r="K111" t="str">
        <f t="shared" si="7"/>
        <v>Gold Power Bank (S)</v>
      </c>
      <c r="L111" t="str">
        <f t="shared" si="4"/>
        <v>Sana</v>
      </c>
      <c r="M111" t="str">
        <f>SUBSTITUTE(Table1[[#This Row],[Raw_Address]], ", ", " - ")</f>
        <v>Atlanta - GA</v>
      </c>
      <c r="N111" t="str">
        <f t="shared" si="5"/>
        <v>Q4-2026</v>
      </c>
      <c r="O111" t="str">
        <f t="shared" si="6"/>
        <v>INV/00108/OCT</v>
      </c>
    </row>
    <row r="112" spans="1:15" x14ac:dyDescent="0.35">
      <c r="A112" s="3" t="s">
        <v>1715</v>
      </c>
      <c r="B112" s="3" t="s">
        <v>1419</v>
      </c>
      <c r="C112" s="3" t="s">
        <v>18</v>
      </c>
      <c r="D112" s="3" t="s">
        <v>1454</v>
      </c>
      <c r="E112" s="3" t="s">
        <v>1531</v>
      </c>
      <c r="F112" t="s">
        <v>1492</v>
      </c>
      <c r="G112" t="s">
        <v>1493</v>
      </c>
      <c r="H112" s="7">
        <v>46031</v>
      </c>
      <c r="I112" s="7">
        <v>46058</v>
      </c>
      <c r="J112" t="s">
        <v>2550</v>
      </c>
      <c r="K112" t="str">
        <f t="shared" si="7"/>
        <v>White Tablet (L)</v>
      </c>
      <c r="L112" t="str">
        <f t="shared" si="4"/>
        <v>Omar</v>
      </c>
      <c r="M112" t="str">
        <f>SUBSTITUTE(Table1[[#This Row],[Raw_Address]], ", ", " - ")</f>
        <v>Tampa - FL</v>
      </c>
      <c r="N112" t="str">
        <f t="shared" si="5"/>
        <v>Q1-2026</v>
      </c>
      <c r="O112" t="str">
        <f t="shared" si="6"/>
        <v>INV/00109/JAN</v>
      </c>
    </row>
    <row r="113" spans="1:15" x14ac:dyDescent="0.35">
      <c r="A113" s="3" t="s">
        <v>1716</v>
      </c>
      <c r="B113" s="3" t="s">
        <v>1430</v>
      </c>
      <c r="C113" s="3" t="s">
        <v>1431</v>
      </c>
      <c r="D113" s="3" t="s">
        <v>1465</v>
      </c>
      <c r="E113" s="3" t="s">
        <v>1535</v>
      </c>
      <c r="F113" t="s">
        <v>1496</v>
      </c>
      <c r="G113" t="s">
        <v>1497</v>
      </c>
      <c r="H113" s="7">
        <v>46126</v>
      </c>
      <c r="I113" s="7">
        <v>46156</v>
      </c>
      <c r="J113" t="s">
        <v>2551</v>
      </c>
      <c r="K113" t="str">
        <f t="shared" si="7"/>
        <v>Gold Mouse (XS)</v>
      </c>
      <c r="L113" t="str">
        <f t="shared" si="4"/>
        <v>Nina</v>
      </c>
      <c r="M113" t="str">
        <f>SUBSTITUTE(Table1[[#This Row],[Raw_Address]], ", ", " - ")</f>
        <v>Phoenix - AZ</v>
      </c>
      <c r="N113" t="str">
        <f t="shared" si="5"/>
        <v>Q2-2026</v>
      </c>
      <c r="O113" t="str">
        <f t="shared" si="6"/>
        <v>INV/00110/APR</v>
      </c>
    </row>
    <row r="114" spans="1:15" x14ac:dyDescent="0.35">
      <c r="A114" s="3" t="s">
        <v>1717</v>
      </c>
      <c r="B114" s="3" t="s">
        <v>1442</v>
      </c>
      <c r="C114" s="3" t="s">
        <v>18</v>
      </c>
      <c r="D114" s="3" t="s">
        <v>1420</v>
      </c>
      <c r="E114" s="3" t="s">
        <v>1539</v>
      </c>
      <c r="F114" t="s">
        <v>1500</v>
      </c>
      <c r="G114" t="s">
        <v>1501</v>
      </c>
      <c r="H114" s="7">
        <v>46222</v>
      </c>
      <c r="I114" s="7">
        <v>46225</v>
      </c>
      <c r="J114" t="s">
        <v>2552</v>
      </c>
      <c r="K114" t="str">
        <f t="shared" si="7"/>
        <v>White Camera (M)</v>
      </c>
      <c r="L114" t="str">
        <f t="shared" si="4"/>
        <v>Jack</v>
      </c>
      <c r="M114" t="str">
        <f>SUBSTITUTE(Table1[[#This Row],[Raw_Address]], ", ", " - ")</f>
        <v>Raleigh - NC</v>
      </c>
      <c r="N114" t="str">
        <f t="shared" si="5"/>
        <v>Q3-2026</v>
      </c>
      <c r="O114" t="str">
        <f t="shared" si="6"/>
        <v>INV/00111/JUL</v>
      </c>
    </row>
    <row r="115" spans="1:15" x14ac:dyDescent="0.35">
      <c r="A115" s="3" t="s">
        <v>1718</v>
      </c>
      <c r="B115" s="3" t="s">
        <v>1453</v>
      </c>
      <c r="C115" s="3" t="s">
        <v>1431</v>
      </c>
      <c r="D115" s="3" t="s">
        <v>1432</v>
      </c>
      <c r="E115" s="3" t="s">
        <v>1542</v>
      </c>
      <c r="F115" t="s">
        <v>1504</v>
      </c>
      <c r="G115" t="s">
        <v>1505</v>
      </c>
      <c r="H115" s="7">
        <v>46319</v>
      </c>
      <c r="I115" s="7">
        <v>46325</v>
      </c>
      <c r="J115" t="s">
        <v>2553</v>
      </c>
      <c r="K115" t="str">
        <f t="shared" si="7"/>
        <v>Gold Desk Lamp (XL)</v>
      </c>
      <c r="L115" t="str">
        <f t="shared" si="4"/>
        <v>Victor</v>
      </c>
      <c r="M115" t="str">
        <f>SUBSTITUTE(Table1[[#This Row],[Raw_Address]], ", ", " - ")</f>
        <v>Miami - FL</v>
      </c>
      <c r="N115" t="str">
        <f t="shared" si="5"/>
        <v>Q4-2026</v>
      </c>
      <c r="O115" t="str">
        <f t="shared" si="6"/>
        <v>INV/00112/OCT</v>
      </c>
    </row>
    <row r="116" spans="1:15" x14ac:dyDescent="0.35">
      <c r="A116" s="3" t="s">
        <v>1719</v>
      </c>
      <c r="B116" s="3" t="s">
        <v>1464</v>
      </c>
      <c r="C116" s="3" t="s">
        <v>18</v>
      </c>
      <c r="D116" s="3" t="s">
        <v>1443</v>
      </c>
      <c r="E116" s="3" t="s">
        <v>1545</v>
      </c>
      <c r="F116" t="s">
        <v>1508</v>
      </c>
      <c r="G116" t="s">
        <v>1509</v>
      </c>
      <c r="H116" s="7">
        <v>46023</v>
      </c>
      <c r="I116" s="7">
        <v>46032</v>
      </c>
      <c r="J116" t="s">
        <v>2554</v>
      </c>
      <c r="K116" t="str">
        <f t="shared" si="7"/>
        <v>White Notebook (S)</v>
      </c>
      <c r="L116" t="str">
        <f t="shared" si="4"/>
        <v>Liam</v>
      </c>
      <c r="M116" t="str">
        <f>SUBSTITUTE(Table1[[#This Row],[Raw_Address]], ", ", " - ")</f>
        <v>Charlotte - NC</v>
      </c>
      <c r="N116" t="str">
        <f t="shared" si="5"/>
        <v>Q1-2026</v>
      </c>
      <c r="O116" t="str">
        <f t="shared" si="6"/>
        <v>INV/00113/JAN</v>
      </c>
    </row>
    <row r="117" spans="1:15" x14ac:dyDescent="0.35">
      <c r="A117" s="3" t="s">
        <v>1720</v>
      </c>
      <c r="B117" s="3" t="s">
        <v>1474</v>
      </c>
      <c r="C117" s="3" t="s">
        <v>1431</v>
      </c>
      <c r="D117" s="3" t="s">
        <v>1454</v>
      </c>
      <c r="E117" s="3" t="s">
        <v>1548</v>
      </c>
      <c r="F117" t="s">
        <v>1512</v>
      </c>
      <c r="G117" t="s">
        <v>1513</v>
      </c>
      <c r="H117" s="7">
        <v>46118</v>
      </c>
      <c r="I117" s="7">
        <v>46130</v>
      </c>
      <c r="J117" t="s">
        <v>2555</v>
      </c>
      <c r="K117" t="str">
        <f t="shared" si="7"/>
        <v>Gold Power Bank (L)</v>
      </c>
      <c r="L117" t="str">
        <f t="shared" si="4"/>
        <v>Elijah</v>
      </c>
      <c r="M117" t="str">
        <f>SUBSTITUTE(Table1[[#This Row],[Raw_Address]], ", ", " - ")</f>
        <v>Austin - TX</v>
      </c>
      <c r="N117" t="str">
        <f t="shared" si="5"/>
        <v>Q2-2026</v>
      </c>
      <c r="O117" t="str">
        <f t="shared" si="6"/>
        <v>INV/00114/APR</v>
      </c>
    </row>
    <row r="118" spans="1:15" x14ac:dyDescent="0.35">
      <c r="A118" s="3" t="s">
        <v>1721</v>
      </c>
      <c r="B118" s="3" t="s">
        <v>1419</v>
      </c>
      <c r="C118" s="3" t="s">
        <v>18</v>
      </c>
      <c r="D118" s="3" t="s">
        <v>1465</v>
      </c>
      <c r="E118" s="3" t="s">
        <v>1551</v>
      </c>
      <c r="F118" t="s">
        <v>1516</v>
      </c>
      <c r="G118" t="s">
        <v>1517</v>
      </c>
      <c r="H118" s="7">
        <v>46214</v>
      </c>
      <c r="I118" s="7">
        <v>46229</v>
      </c>
      <c r="J118" t="s">
        <v>2550</v>
      </c>
      <c r="K118" t="str">
        <f t="shared" si="7"/>
        <v>White Tablet (XS)</v>
      </c>
      <c r="L118" t="str">
        <f t="shared" si="4"/>
        <v>Lucas</v>
      </c>
      <c r="M118" t="str">
        <f>SUBSTITUTE(Table1[[#This Row],[Raw_Address]], ", ", " - ")</f>
        <v>San Diego - CA</v>
      </c>
      <c r="N118" t="str">
        <f t="shared" si="5"/>
        <v>Q3-2026</v>
      </c>
      <c r="O118" t="str">
        <f t="shared" si="6"/>
        <v>INV/00115/JUL</v>
      </c>
    </row>
    <row r="119" spans="1:15" x14ac:dyDescent="0.35">
      <c r="A119" s="3" t="s">
        <v>1722</v>
      </c>
      <c r="B119" s="3" t="s">
        <v>1430</v>
      </c>
      <c r="C119" s="3" t="s">
        <v>1431</v>
      </c>
      <c r="D119" s="3" t="s">
        <v>1420</v>
      </c>
      <c r="E119" s="3" t="s">
        <v>1554</v>
      </c>
      <c r="F119" t="s">
        <v>1520</v>
      </c>
      <c r="G119" t="s">
        <v>1521</v>
      </c>
      <c r="H119" s="7">
        <v>46311</v>
      </c>
      <c r="I119" s="7">
        <v>46329</v>
      </c>
      <c r="J119" t="s">
        <v>2551</v>
      </c>
      <c r="K119" t="str">
        <f t="shared" si="7"/>
        <v>Gold Mouse (M)</v>
      </c>
      <c r="L119" t="str">
        <f t="shared" si="4"/>
        <v>Ethan</v>
      </c>
      <c r="M119" t="str">
        <f>SUBSTITUTE(Table1[[#This Row],[Raw_Address]], ", ", " - ")</f>
        <v>Kansas City - MO</v>
      </c>
      <c r="N119" t="str">
        <f t="shared" si="5"/>
        <v>Q4-2026</v>
      </c>
      <c r="O119" t="str">
        <f t="shared" si="6"/>
        <v>INV/00116/OCT</v>
      </c>
    </row>
    <row r="120" spans="1:15" x14ac:dyDescent="0.35">
      <c r="A120" s="3" t="s">
        <v>1723</v>
      </c>
      <c r="B120" s="3" t="s">
        <v>1442</v>
      </c>
      <c r="C120" s="3" t="s">
        <v>18</v>
      </c>
      <c r="D120" s="3" t="s">
        <v>1432</v>
      </c>
      <c r="E120" s="3" t="s">
        <v>1557</v>
      </c>
      <c r="F120" t="s">
        <v>1524</v>
      </c>
      <c r="G120" t="s">
        <v>1525</v>
      </c>
      <c r="H120" s="7">
        <v>46043</v>
      </c>
      <c r="I120" s="7">
        <v>46064</v>
      </c>
      <c r="J120" t="s">
        <v>2552</v>
      </c>
      <c r="K120" t="str">
        <f t="shared" si="7"/>
        <v>White Camera (XL)</v>
      </c>
      <c r="L120" t="str">
        <f t="shared" si="4"/>
        <v>Evelyn</v>
      </c>
      <c r="M120" t="str">
        <f>SUBSTITUTE(Table1[[#This Row],[Raw_Address]], ", ", " - ")</f>
        <v>Portland - OR</v>
      </c>
      <c r="N120" t="str">
        <f t="shared" si="5"/>
        <v>Q1-2026</v>
      </c>
      <c r="O120" t="str">
        <f t="shared" si="6"/>
        <v>INV/00117/JAN</v>
      </c>
    </row>
    <row r="121" spans="1:15" x14ac:dyDescent="0.35">
      <c r="A121" s="3" t="s">
        <v>1724</v>
      </c>
      <c r="B121" s="3" t="s">
        <v>1453</v>
      </c>
      <c r="C121" s="3" t="s">
        <v>1431</v>
      </c>
      <c r="D121" s="3" t="s">
        <v>1443</v>
      </c>
      <c r="E121" s="3" t="s">
        <v>1560</v>
      </c>
      <c r="F121" t="s">
        <v>1528</v>
      </c>
      <c r="G121" t="s">
        <v>1529</v>
      </c>
      <c r="H121" s="7">
        <v>46138</v>
      </c>
      <c r="I121" s="7">
        <v>46162</v>
      </c>
      <c r="J121" t="s">
        <v>2553</v>
      </c>
      <c r="K121" t="str">
        <f t="shared" si="7"/>
        <v>Gold Desk Lamp (S)</v>
      </c>
      <c r="L121" t="str">
        <f t="shared" si="4"/>
        <v>Scarlett</v>
      </c>
      <c r="M121" t="str">
        <f>SUBSTITUTE(Table1[[#This Row],[Raw_Address]], ", ", " - ")</f>
        <v>Las Vegas - NV</v>
      </c>
      <c r="N121" t="str">
        <f t="shared" si="5"/>
        <v>Q2-2026</v>
      </c>
      <c r="O121" t="str">
        <f t="shared" si="6"/>
        <v>INV/00118/APR</v>
      </c>
    </row>
    <row r="122" spans="1:15" x14ac:dyDescent="0.35">
      <c r="A122" s="3" t="s">
        <v>1725</v>
      </c>
      <c r="B122" s="3" t="s">
        <v>1464</v>
      </c>
      <c r="C122" s="3" t="s">
        <v>18</v>
      </c>
      <c r="D122" s="3" t="s">
        <v>1454</v>
      </c>
      <c r="E122" s="3" t="s">
        <v>1563</v>
      </c>
      <c r="F122" t="s">
        <v>1532</v>
      </c>
      <c r="G122" t="s">
        <v>1533</v>
      </c>
      <c r="H122" s="7">
        <v>46206</v>
      </c>
      <c r="I122" s="7">
        <v>46233</v>
      </c>
      <c r="J122" t="s">
        <v>2554</v>
      </c>
      <c r="K122" t="str">
        <f t="shared" si="7"/>
        <v>White Notebook (L)</v>
      </c>
      <c r="L122" t="str">
        <f t="shared" si="4"/>
        <v>Sofia</v>
      </c>
      <c r="M122" t="str">
        <f>SUBSTITUTE(Table1[[#This Row],[Raw_Address]], ", ", " - ")</f>
        <v>Chicago - IL</v>
      </c>
      <c r="N122" t="str">
        <f t="shared" si="5"/>
        <v>Q3-2026</v>
      </c>
      <c r="O122" t="str">
        <f t="shared" si="6"/>
        <v>INV/00119/JUL</v>
      </c>
    </row>
    <row r="123" spans="1:15" x14ac:dyDescent="0.35">
      <c r="A123" s="3" t="s">
        <v>1726</v>
      </c>
      <c r="B123" s="3" t="s">
        <v>1474</v>
      </c>
      <c r="C123" s="3" t="s">
        <v>1431</v>
      </c>
      <c r="D123" s="3" t="s">
        <v>1465</v>
      </c>
      <c r="E123" s="3" t="s">
        <v>1566</v>
      </c>
      <c r="F123" t="s">
        <v>1536</v>
      </c>
      <c r="G123" t="s">
        <v>1537</v>
      </c>
      <c r="H123" s="7">
        <v>46303</v>
      </c>
      <c r="I123" s="7">
        <v>46333</v>
      </c>
      <c r="J123" t="s">
        <v>2555</v>
      </c>
      <c r="K123" t="str">
        <f t="shared" si="7"/>
        <v>Gold Power Bank (XS)</v>
      </c>
      <c r="L123" t="str">
        <f t="shared" si="4"/>
        <v>Priya</v>
      </c>
      <c r="M123" t="str">
        <f>SUBSTITUTE(Table1[[#This Row],[Raw_Address]], ", ", " - ")</f>
        <v>Detroit - MI</v>
      </c>
      <c r="N123" t="str">
        <f t="shared" si="5"/>
        <v>Q4-2026</v>
      </c>
      <c r="O123" t="str">
        <f t="shared" si="6"/>
        <v>INV/00120/OCT</v>
      </c>
    </row>
    <row r="124" spans="1:15" x14ac:dyDescent="0.35">
      <c r="A124" s="3" t="s">
        <v>1727</v>
      </c>
      <c r="B124" s="3" t="s">
        <v>1419</v>
      </c>
      <c r="C124" s="3" t="s">
        <v>18</v>
      </c>
      <c r="D124" s="3" t="s">
        <v>1420</v>
      </c>
      <c r="E124" s="3" t="s">
        <v>1421</v>
      </c>
      <c r="F124" t="s">
        <v>1540</v>
      </c>
      <c r="G124" t="s">
        <v>1423</v>
      </c>
      <c r="H124" s="7">
        <v>46035</v>
      </c>
      <c r="I124" s="7">
        <v>46038</v>
      </c>
      <c r="J124" t="s">
        <v>2550</v>
      </c>
      <c r="K124" t="str">
        <f t="shared" si="7"/>
        <v>White Tablet (M)</v>
      </c>
      <c r="L124" t="str">
        <f t="shared" si="4"/>
        <v>Kabir</v>
      </c>
      <c r="M124" t="str">
        <f>SUBSTITUTE(Table1[[#This Row],[Raw_Address]], ", ", " - ")</f>
        <v>Boston - MA</v>
      </c>
      <c r="N124" t="str">
        <f t="shared" si="5"/>
        <v>Q1-2026</v>
      </c>
      <c r="O124" t="str">
        <f t="shared" si="6"/>
        <v>INV/00121/JAN</v>
      </c>
    </row>
    <row r="125" spans="1:15" x14ac:dyDescent="0.35">
      <c r="A125" s="3" t="s">
        <v>1728</v>
      </c>
      <c r="B125" s="3" t="s">
        <v>1430</v>
      </c>
      <c r="C125" s="3" t="s">
        <v>1431</v>
      </c>
      <c r="D125" s="3" t="s">
        <v>1432</v>
      </c>
      <c r="E125" s="3" t="s">
        <v>1433</v>
      </c>
      <c r="F125" t="s">
        <v>1543</v>
      </c>
      <c r="G125" t="s">
        <v>1435</v>
      </c>
      <c r="H125" s="7">
        <v>46130</v>
      </c>
      <c r="I125" s="7">
        <v>46136</v>
      </c>
      <c r="J125" t="s">
        <v>2551</v>
      </c>
      <c r="K125" t="str">
        <f t="shared" si="7"/>
        <v>Gold Mouse (XL)</v>
      </c>
      <c r="L125" t="str">
        <f t="shared" si="4"/>
        <v>Fatima</v>
      </c>
      <c r="M125" t="str">
        <f>SUBSTITUTE(Table1[[#This Row],[Raw_Address]], ", ", " - ")</f>
        <v>Columbus - OH</v>
      </c>
      <c r="N125" t="str">
        <f t="shared" si="5"/>
        <v>Q2-2026</v>
      </c>
      <c r="O125" t="str">
        <f t="shared" si="6"/>
        <v>INV/00122/APR</v>
      </c>
    </row>
    <row r="126" spans="1:15" x14ac:dyDescent="0.35">
      <c r="A126" s="3" t="s">
        <v>1729</v>
      </c>
      <c r="B126" s="3" t="s">
        <v>1442</v>
      </c>
      <c r="C126" s="3" t="s">
        <v>18</v>
      </c>
      <c r="D126" s="3" t="s">
        <v>1443</v>
      </c>
      <c r="E126" s="3" t="s">
        <v>1444</v>
      </c>
      <c r="F126" t="s">
        <v>1546</v>
      </c>
      <c r="G126" t="s">
        <v>1446</v>
      </c>
      <c r="H126" s="7">
        <v>46226</v>
      </c>
      <c r="I126" s="7">
        <v>46235</v>
      </c>
      <c r="J126" t="s">
        <v>2552</v>
      </c>
      <c r="K126" t="str">
        <f t="shared" si="7"/>
        <v>White Camera (S)</v>
      </c>
      <c r="L126" t="str">
        <f t="shared" si="4"/>
        <v>Grace</v>
      </c>
      <c r="M126" t="str">
        <f>SUBSTITUTE(Table1[[#This Row],[Raw_Address]], ", ", " - ")</f>
        <v>Denver - CO</v>
      </c>
      <c r="N126" t="str">
        <f t="shared" si="5"/>
        <v>Q3-2026</v>
      </c>
      <c r="O126" t="str">
        <f t="shared" si="6"/>
        <v>INV/00123/JUL</v>
      </c>
    </row>
    <row r="127" spans="1:15" x14ac:dyDescent="0.35">
      <c r="A127" s="3" t="s">
        <v>1730</v>
      </c>
      <c r="B127" s="3" t="s">
        <v>1453</v>
      </c>
      <c r="C127" s="3" t="s">
        <v>1431</v>
      </c>
      <c r="D127" s="3" t="s">
        <v>1454</v>
      </c>
      <c r="E127" s="3" t="s">
        <v>1455</v>
      </c>
      <c r="F127" t="s">
        <v>1549</v>
      </c>
      <c r="G127" t="s">
        <v>1457</v>
      </c>
      <c r="H127" s="7">
        <v>46323</v>
      </c>
      <c r="I127" s="7">
        <v>46335</v>
      </c>
      <c r="J127" t="s">
        <v>2553</v>
      </c>
      <c r="K127" t="str">
        <f t="shared" si="7"/>
        <v>Gold Desk Lamp (L)</v>
      </c>
      <c r="L127" t="str">
        <f t="shared" si="4"/>
        <v>David</v>
      </c>
      <c r="M127" t="str">
        <f>SUBSTITUTE(Table1[[#This Row],[Raw_Address]], ", ", " - ")</f>
        <v>Dallas - TX</v>
      </c>
      <c r="N127" t="str">
        <f t="shared" si="5"/>
        <v>Q4-2026</v>
      </c>
      <c r="O127" t="str">
        <f t="shared" si="6"/>
        <v>INV/00124/OCT</v>
      </c>
    </row>
    <row r="128" spans="1:15" x14ac:dyDescent="0.35">
      <c r="A128" s="3" t="s">
        <v>1731</v>
      </c>
      <c r="B128" s="3" t="s">
        <v>1464</v>
      </c>
      <c r="C128" s="3" t="s">
        <v>18</v>
      </c>
      <c r="D128" s="3" t="s">
        <v>1465</v>
      </c>
      <c r="E128" s="3" t="s">
        <v>1466</v>
      </c>
      <c r="F128" t="s">
        <v>1552</v>
      </c>
      <c r="G128" t="s">
        <v>1468</v>
      </c>
      <c r="H128" s="7">
        <v>46027</v>
      </c>
      <c r="I128" s="7">
        <v>46042</v>
      </c>
      <c r="J128" t="s">
        <v>2554</v>
      </c>
      <c r="K128" t="str">
        <f t="shared" si="7"/>
        <v>White Notebook (XS)</v>
      </c>
      <c r="L128" t="str">
        <f t="shared" si="4"/>
        <v>Anaya</v>
      </c>
      <c r="M128" t="str">
        <f>SUBSTITUTE(Table1[[#This Row],[Raw_Address]], ", ", " - ")</f>
        <v>Seattle - WA</v>
      </c>
      <c r="N128" t="str">
        <f t="shared" si="5"/>
        <v>Q1-2026</v>
      </c>
      <c r="O128" t="str">
        <f t="shared" si="6"/>
        <v>INV/00125/JAN</v>
      </c>
    </row>
    <row r="129" spans="1:15" x14ac:dyDescent="0.35">
      <c r="A129" s="3" t="s">
        <v>1732</v>
      </c>
      <c r="B129" s="3" t="s">
        <v>1474</v>
      </c>
      <c r="C129" s="3" t="s">
        <v>1431</v>
      </c>
      <c r="D129" s="3" t="s">
        <v>1420</v>
      </c>
      <c r="E129" s="3" t="s">
        <v>1475</v>
      </c>
      <c r="F129" t="s">
        <v>1555</v>
      </c>
      <c r="G129" t="s">
        <v>1477</v>
      </c>
      <c r="H129" s="7">
        <v>46122</v>
      </c>
      <c r="I129" s="7">
        <v>46140</v>
      </c>
      <c r="J129" t="s">
        <v>2555</v>
      </c>
      <c r="K129" t="str">
        <f t="shared" si="7"/>
        <v>Gold Power Bank (M)</v>
      </c>
      <c r="L129" t="str">
        <f t="shared" si="4"/>
        <v>Emma</v>
      </c>
      <c r="M129" t="str">
        <f>SUBSTITUTE(Table1[[#This Row],[Raw_Address]], ", ", " - ")</f>
        <v>Nashville - TN</v>
      </c>
      <c r="N129" t="str">
        <f t="shared" si="5"/>
        <v>Q2-2026</v>
      </c>
      <c r="O129" t="str">
        <f t="shared" si="6"/>
        <v>INV/00126/APR</v>
      </c>
    </row>
    <row r="130" spans="1:15" x14ac:dyDescent="0.35">
      <c r="A130" s="3" t="s">
        <v>1733</v>
      </c>
      <c r="B130" s="3" t="s">
        <v>1419</v>
      </c>
      <c r="C130" s="3" t="s">
        <v>18</v>
      </c>
      <c r="D130" s="3" t="s">
        <v>1432</v>
      </c>
      <c r="E130" s="3" t="s">
        <v>1483</v>
      </c>
      <c r="F130" t="s">
        <v>1558</v>
      </c>
      <c r="G130" t="s">
        <v>1485</v>
      </c>
      <c r="H130" s="7">
        <v>46218</v>
      </c>
      <c r="I130" s="7">
        <v>46239</v>
      </c>
      <c r="J130" t="s">
        <v>2550</v>
      </c>
      <c r="K130" t="str">
        <f t="shared" si="7"/>
        <v>White Tablet (XL)</v>
      </c>
      <c r="L130" t="str">
        <f t="shared" si="4"/>
        <v>Mason</v>
      </c>
      <c r="M130" t="str">
        <f>SUBSTITUTE(Table1[[#This Row],[Raw_Address]], ", ", " - ")</f>
        <v>Minneapolis - MN</v>
      </c>
      <c r="N130" t="str">
        <f t="shared" si="5"/>
        <v>Q3-2026</v>
      </c>
      <c r="O130" t="str">
        <f t="shared" si="6"/>
        <v>INV/00127/JUL</v>
      </c>
    </row>
    <row r="131" spans="1:15" x14ac:dyDescent="0.35">
      <c r="A131" s="3" t="s">
        <v>1734</v>
      </c>
      <c r="B131" s="3" t="s">
        <v>1430</v>
      </c>
      <c r="C131" s="3" t="s">
        <v>1431</v>
      </c>
      <c r="D131" s="3" t="s">
        <v>1443</v>
      </c>
      <c r="E131" s="3" t="s">
        <v>1487</v>
      </c>
      <c r="F131" t="s">
        <v>1561</v>
      </c>
      <c r="G131" t="s">
        <v>1489</v>
      </c>
      <c r="H131" s="7">
        <v>46315</v>
      </c>
      <c r="I131" s="7">
        <v>46339</v>
      </c>
      <c r="J131" t="s">
        <v>2551</v>
      </c>
      <c r="K131" t="str">
        <f t="shared" si="7"/>
        <v>Gold Mouse (S)</v>
      </c>
      <c r="L131" t="str">
        <f t="shared" si="4"/>
        <v>Amelia</v>
      </c>
      <c r="M131" t="str">
        <f>SUBSTITUTE(Table1[[#This Row],[Raw_Address]], ", ", " - ")</f>
        <v>Atlanta - GA</v>
      </c>
      <c r="N131" t="str">
        <f t="shared" si="5"/>
        <v>Q4-2026</v>
      </c>
      <c r="O131" t="str">
        <f t="shared" si="6"/>
        <v>INV/00128/OCT</v>
      </c>
    </row>
    <row r="132" spans="1:15" x14ac:dyDescent="0.35">
      <c r="A132" s="3" t="s">
        <v>1735</v>
      </c>
      <c r="B132" s="3" t="s">
        <v>1442</v>
      </c>
      <c r="C132" s="3" t="s">
        <v>18</v>
      </c>
      <c r="D132" s="3" t="s">
        <v>1454</v>
      </c>
      <c r="E132" s="3" t="s">
        <v>1491</v>
      </c>
      <c r="F132" t="s">
        <v>1564</v>
      </c>
      <c r="G132" t="s">
        <v>1493</v>
      </c>
      <c r="H132" s="7">
        <v>46047</v>
      </c>
      <c r="I132" s="7">
        <v>46074</v>
      </c>
      <c r="J132" t="s">
        <v>2552</v>
      </c>
      <c r="K132" t="str">
        <f t="shared" si="7"/>
        <v>White Camera (L)</v>
      </c>
      <c r="L132" t="str">
        <f t="shared" si="4"/>
        <v>Charlotte</v>
      </c>
      <c r="M132" t="str">
        <f>SUBSTITUTE(Table1[[#This Row],[Raw_Address]], ", ", " - ")</f>
        <v>Tampa - FL</v>
      </c>
      <c r="N132" t="str">
        <f t="shared" si="5"/>
        <v>Q1-2026</v>
      </c>
      <c r="O132" t="str">
        <f t="shared" si="6"/>
        <v>INV/00129/JAN</v>
      </c>
    </row>
    <row r="133" spans="1:15" x14ac:dyDescent="0.35">
      <c r="A133" s="3" t="s">
        <v>1736</v>
      </c>
      <c r="B133" s="3" t="s">
        <v>1453</v>
      </c>
      <c r="C133" s="3" t="s">
        <v>1431</v>
      </c>
      <c r="D133" s="3" t="s">
        <v>1465</v>
      </c>
      <c r="E133" s="3" t="s">
        <v>1495</v>
      </c>
      <c r="F133" t="s">
        <v>1567</v>
      </c>
      <c r="G133" t="s">
        <v>1497</v>
      </c>
      <c r="H133" s="7">
        <v>46114</v>
      </c>
      <c r="I133" s="7">
        <v>46144</v>
      </c>
      <c r="J133" t="s">
        <v>2553</v>
      </c>
      <c r="K133" t="str">
        <f t="shared" si="7"/>
        <v>Gold Desk Lamp (XS)</v>
      </c>
      <c r="L133" t="str">
        <f t="shared" si="4"/>
        <v>Henry</v>
      </c>
      <c r="M133" t="str">
        <f>SUBSTITUTE(Table1[[#This Row],[Raw_Address]], ", ", " - ")</f>
        <v>Phoenix - AZ</v>
      </c>
      <c r="N133" t="str">
        <f t="shared" si="5"/>
        <v>Q2-2026</v>
      </c>
      <c r="O133" t="str">
        <f t="shared" si="6"/>
        <v>INV/00130/APR</v>
      </c>
    </row>
    <row r="134" spans="1:15" x14ac:dyDescent="0.35">
      <c r="A134" s="3" t="s">
        <v>1737</v>
      </c>
      <c r="B134" s="3" t="s">
        <v>1464</v>
      </c>
      <c r="C134" s="3" t="s">
        <v>18</v>
      </c>
      <c r="D134" s="3" t="s">
        <v>1420</v>
      </c>
      <c r="E134" s="3" t="s">
        <v>1499</v>
      </c>
      <c r="F134" t="s">
        <v>1569</v>
      </c>
      <c r="G134" t="s">
        <v>1501</v>
      </c>
      <c r="H134" s="7">
        <v>46210</v>
      </c>
      <c r="I134" s="7">
        <v>46213</v>
      </c>
      <c r="J134" t="s">
        <v>2554</v>
      </c>
      <c r="K134" t="str">
        <f t="shared" si="7"/>
        <v>White Notebook (M)</v>
      </c>
      <c r="L134" t="str">
        <f t="shared" si="4"/>
        <v>Michael</v>
      </c>
      <c r="M134" t="str">
        <f>SUBSTITUTE(Table1[[#This Row],[Raw_Address]], ", ", " - ")</f>
        <v>Raleigh - NC</v>
      </c>
      <c r="N134" t="str">
        <f t="shared" si="5"/>
        <v>Q3-2026</v>
      </c>
      <c r="O134" t="str">
        <f t="shared" si="6"/>
        <v>INV/00131/JUL</v>
      </c>
    </row>
    <row r="135" spans="1:15" x14ac:dyDescent="0.35">
      <c r="A135" s="3" t="s">
        <v>1738</v>
      </c>
      <c r="B135" s="3" t="s">
        <v>1474</v>
      </c>
      <c r="C135" s="3" t="s">
        <v>1431</v>
      </c>
      <c r="D135" s="3" t="s">
        <v>1432</v>
      </c>
      <c r="E135" s="3" t="s">
        <v>1503</v>
      </c>
      <c r="F135" t="s">
        <v>1571</v>
      </c>
      <c r="G135" t="s">
        <v>1505</v>
      </c>
      <c r="H135" s="7">
        <v>46307</v>
      </c>
      <c r="I135" s="7">
        <v>46313</v>
      </c>
      <c r="J135" t="s">
        <v>2555</v>
      </c>
      <c r="K135" t="str">
        <f t="shared" si="7"/>
        <v>Gold Power Bank (XL)</v>
      </c>
      <c r="L135" t="str">
        <f t="shared" si="4"/>
        <v>Mateo</v>
      </c>
      <c r="M135" t="str">
        <f>SUBSTITUTE(Table1[[#This Row],[Raw_Address]], ", ", " - ")</f>
        <v>Miami - FL</v>
      </c>
      <c r="N135" t="str">
        <f t="shared" si="5"/>
        <v>Q4-2026</v>
      </c>
      <c r="O135" t="str">
        <f t="shared" si="6"/>
        <v>INV/00132/OCT</v>
      </c>
    </row>
    <row r="136" spans="1:15" x14ac:dyDescent="0.35">
      <c r="A136" s="3" t="s">
        <v>1739</v>
      </c>
      <c r="B136" s="3" t="s">
        <v>1419</v>
      </c>
      <c r="C136" s="3" t="s">
        <v>18</v>
      </c>
      <c r="D136" s="3" t="s">
        <v>1443</v>
      </c>
      <c r="E136" s="3" t="s">
        <v>1507</v>
      </c>
      <c r="F136" t="s">
        <v>1573</v>
      </c>
      <c r="G136" t="s">
        <v>1509</v>
      </c>
      <c r="H136" s="7">
        <v>46039</v>
      </c>
      <c r="I136" s="7">
        <v>46048</v>
      </c>
      <c r="J136" t="s">
        <v>2550</v>
      </c>
      <c r="K136" t="str">
        <f t="shared" si="7"/>
        <v>White Tablet (S)</v>
      </c>
      <c r="L136" t="str">
        <f t="shared" si="4"/>
        <v>Sana</v>
      </c>
      <c r="M136" t="str">
        <f>SUBSTITUTE(Table1[[#This Row],[Raw_Address]], ", ", " - ")</f>
        <v>Charlotte - NC</v>
      </c>
      <c r="N136" t="str">
        <f t="shared" si="5"/>
        <v>Q1-2026</v>
      </c>
      <c r="O136" t="str">
        <f t="shared" si="6"/>
        <v>INV/00133/JAN</v>
      </c>
    </row>
    <row r="137" spans="1:15" x14ac:dyDescent="0.35">
      <c r="A137" s="3" t="s">
        <v>1740</v>
      </c>
      <c r="B137" s="3" t="s">
        <v>1430</v>
      </c>
      <c r="C137" s="3" t="s">
        <v>1431</v>
      </c>
      <c r="D137" s="3" t="s">
        <v>1454</v>
      </c>
      <c r="E137" s="3" t="s">
        <v>1511</v>
      </c>
      <c r="F137" t="s">
        <v>1575</v>
      </c>
      <c r="G137" t="s">
        <v>1513</v>
      </c>
      <c r="H137" s="7">
        <v>46134</v>
      </c>
      <c r="I137" s="7">
        <v>46146</v>
      </c>
      <c r="J137" t="s">
        <v>2551</v>
      </c>
      <c r="K137" t="str">
        <f t="shared" si="7"/>
        <v>Gold Mouse (L)</v>
      </c>
      <c r="L137" t="str">
        <f t="shared" si="4"/>
        <v>Omar</v>
      </c>
      <c r="M137" t="str">
        <f>SUBSTITUTE(Table1[[#This Row],[Raw_Address]], ", ", " - ")</f>
        <v>Austin - TX</v>
      </c>
      <c r="N137" t="str">
        <f t="shared" si="5"/>
        <v>Q2-2026</v>
      </c>
      <c r="O137" t="str">
        <f t="shared" si="6"/>
        <v>INV/00134/APR</v>
      </c>
    </row>
    <row r="138" spans="1:15" x14ac:dyDescent="0.35">
      <c r="A138" s="3" t="s">
        <v>1741</v>
      </c>
      <c r="B138" s="3" t="s">
        <v>1442</v>
      </c>
      <c r="C138" s="3" t="s">
        <v>18</v>
      </c>
      <c r="D138" s="3" t="s">
        <v>1465</v>
      </c>
      <c r="E138" s="3" t="s">
        <v>1515</v>
      </c>
      <c r="F138" t="s">
        <v>1577</v>
      </c>
      <c r="G138" t="s">
        <v>1517</v>
      </c>
      <c r="H138" s="7">
        <v>46230</v>
      </c>
      <c r="I138" s="7">
        <v>46245</v>
      </c>
      <c r="J138" t="s">
        <v>2552</v>
      </c>
      <c r="K138" t="str">
        <f t="shared" si="7"/>
        <v>White Camera (XS)</v>
      </c>
      <c r="L138" t="str">
        <f t="shared" si="4"/>
        <v>Nina</v>
      </c>
      <c r="M138" t="str">
        <f>SUBSTITUTE(Table1[[#This Row],[Raw_Address]], ", ", " - ")</f>
        <v>San Diego - CA</v>
      </c>
      <c r="N138" t="str">
        <f t="shared" si="5"/>
        <v>Q3-2026</v>
      </c>
      <c r="O138" t="str">
        <f t="shared" si="6"/>
        <v>INV/00135/JUL</v>
      </c>
    </row>
    <row r="139" spans="1:15" x14ac:dyDescent="0.35">
      <c r="A139" s="3" t="s">
        <v>1742</v>
      </c>
      <c r="B139" s="3" t="s">
        <v>1453</v>
      </c>
      <c r="C139" s="3" t="s">
        <v>1431</v>
      </c>
      <c r="D139" s="3" t="s">
        <v>1420</v>
      </c>
      <c r="E139" s="3" t="s">
        <v>1519</v>
      </c>
      <c r="F139" t="s">
        <v>1579</v>
      </c>
      <c r="G139" t="s">
        <v>1521</v>
      </c>
      <c r="H139" s="7">
        <v>46299</v>
      </c>
      <c r="I139" s="7">
        <v>46317</v>
      </c>
      <c r="J139" t="s">
        <v>2553</v>
      </c>
      <c r="K139" t="str">
        <f t="shared" si="7"/>
        <v>Gold Desk Lamp (M)</v>
      </c>
      <c r="L139" t="str">
        <f t="shared" ref="L139:L202" si="8">REPLACE(F139, 1, FIND(", ", F139) + 1, "")</f>
        <v>Jack</v>
      </c>
      <c r="M139" t="str">
        <f>SUBSTITUTE(Table1[[#This Row],[Raw_Address]], ", ", " - ")</f>
        <v>Kansas City - MO</v>
      </c>
      <c r="N139" t="str">
        <f t="shared" ref="N139:N202" si="9">"Q" &amp; ROUNDUP(MONTH(H139)/3, 0) &amp; "-" &amp; YEAR(H139)</f>
        <v>Q4-2026</v>
      </c>
      <c r="O139" t="str">
        <f t="shared" ref="O139:O202" si="10">"INV/" &amp; RIGHT(A139, 5) &amp; "/" &amp; UPPER(TEXT(H139, "mmm"))</f>
        <v>INV/00136/OCT</v>
      </c>
    </row>
    <row r="140" spans="1:15" x14ac:dyDescent="0.35">
      <c r="A140" s="3" t="s">
        <v>1743</v>
      </c>
      <c r="B140" s="3" t="s">
        <v>1464</v>
      </c>
      <c r="C140" s="3" t="s">
        <v>18</v>
      </c>
      <c r="D140" s="3" t="s">
        <v>1432</v>
      </c>
      <c r="E140" s="3" t="s">
        <v>1523</v>
      </c>
      <c r="F140" t="s">
        <v>1581</v>
      </c>
      <c r="G140" t="s">
        <v>1525</v>
      </c>
      <c r="H140" s="7">
        <v>46031</v>
      </c>
      <c r="I140" s="7">
        <v>46052</v>
      </c>
      <c r="J140" t="s">
        <v>2554</v>
      </c>
      <c r="K140" t="str">
        <f t="shared" ref="K140:K203" si="11">C140 &amp; " " &amp; B140 &amp; " (" &amp; D140 &amp; ")"</f>
        <v>White Notebook (XL)</v>
      </c>
      <c r="L140" t="str">
        <f t="shared" si="8"/>
        <v>Victor</v>
      </c>
      <c r="M140" t="str">
        <f>SUBSTITUTE(Table1[[#This Row],[Raw_Address]], ", ", " - ")</f>
        <v>Portland - OR</v>
      </c>
      <c r="N140" t="str">
        <f t="shared" si="9"/>
        <v>Q1-2026</v>
      </c>
      <c r="O140" t="str">
        <f t="shared" si="10"/>
        <v>INV/00137/JAN</v>
      </c>
    </row>
    <row r="141" spans="1:15" x14ac:dyDescent="0.35">
      <c r="A141" s="3" t="s">
        <v>1744</v>
      </c>
      <c r="B141" s="3" t="s">
        <v>1474</v>
      </c>
      <c r="C141" s="3" t="s">
        <v>1431</v>
      </c>
      <c r="D141" s="3" t="s">
        <v>1443</v>
      </c>
      <c r="E141" s="3" t="s">
        <v>1527</v>
      </c>
      <c r="F141" t="s">
        <v>1583</v>
      </c>
      <c r="G141" t="s">
        <v>1529</v>
      </c>
      <c r="H141" s="7">
        <v>46126</v>
      </c>
      <c r="I141" s="7">
        <v>46150</v>
      </c>
      <c r="J141" t="s">
        <v>2555</v>
      </c>
      <c r="K141" t="str">
        <f t="shared" si="11"/>
        <v>Gold Power Bank (S)</v>
      </c>
      <c r="L141" t="str">
        <f t="shared" si="8"/>
        <v>Liam</v>
      </c>
      <c r="M141" t="str">
        <f>SUBSTITUTE(Table1[[#This Row],[Raw_Address]], ", ", " - ")</f>
        <v>Las Vegas - NV</v>
      </c>
      <c r="N141" t="str">
        <f t="shared" si="9"/>
        <v>Q2-2026</v>
      </c>
      <c r="O141" t="str">
        <f t="shared" si="10"/>
        <v>INV/00138/APR</v>
      </c>
    </row>
    <row r="142" spans="1:15" x14ac:dyDescent="0.35">
      <c r="A142" s="3" t="s">
        <v>1745</v>
      </c>
      <c r="B142" s="3" t="s">
        <v>1419</v>
      </c>
      <c r="C142" s="3" t="s">
        <v>18</v>
      </c>
      <c r="D142" s="3" t="s">
        <v>1454</v>
      </c>
      <c r="E142" s="3" t="s">
        <v>1531</v>
      </c>
      <c r="F142" t="s">
        <v>1585</v>
      </c>
      <c r="G142" t="s">
        <v>1533</v>
      </c>
      <c r="H142" s="7">
        <v>46222</v>
      </c>
      <c r="I142" s="7">
        <v>46249</v>
      </c>
      <c r="J142" t="s">
        <v>2550</v>
      </c>
      <c r="K142" t="str">
        <f t="shared" si="11"/>
        <v>White Tablet (L)</v>
      </c>
      <c r="L142" t="str">
        <f t="shared" si="8"/>
        <v>Elijah</v>
      </c>
      <c r="M142" t="str">
        <f>SUBSTITUTE(Table1[[#This Row],[Raw_Address]], ", ", " - ")</f>
        <v>Chicago - IL</v>
      </c>
      <c r="N142" t="str">
        <f t="shared" si="9"/>
        <v>Q3-2026</v>
      </c>
      <c r="O142" t="str">
        <f t="shared" si="10"/>
        <v>INV/00139/JUL</v>
      </c>
    </row>
    <row r="143" spans="1:15" x14ac:dyDescent="0.35">
      <c r="A143" s="3" t="s">
        <v>1746</v>
      </c>
      <c r="B143" s="3" t="s">
        <v>1430</v>
      </c>
      <c r="C143" s="3" t="s">
        <v>1431</v>
      </c>
      <c r="D143" s="3" t="s">
        <v>1465</v>
      </c>
      <c r="E143" s="3" t="s">
        <v>1535</v>
      </c>
      <c r="F143" t="s">
        <v>1587</v>
      </c>
      <c r="G143" t="s">
        <v>1537</v>
      </c>
      <c r="H143" s="7">
        <v>46319</v>
      </c>
      <c r="I143" s="7">
        <v>46349</v>
      </c>
      <c r="J143" t="s">
        <v>2551</v>
      </c>
      <c r="K143" t="str">
        <f t="shared" si="11"/>
        <v>Gold Mouse (XS)</v>
      </c>
      <c r="L143" t="str">
        <f t="shared" si="8"/>
        <v>Lucas</v>
      </c>
      <c r="M143" t="str">
        <f>SUBSTITUTE(Table1[[#This Row],[Raw_Address]], ", ", " - ")</f>
        <v>Detroit - MI</v>
      </c>
      <c r="N143" t="str">
        <f t="shared" si="9"/>
        <v>Q4-2026</v>
      </c>
      <c r="O143" t="str">
        <f t="shared" si="10"/>
        <v>INV/00140/OCT</v>
      </c>
    </row>
    <row r="144" spans="1:15" x14ac:dyDescent="0.35">
      <c r="A144" s="3" t="s">
        <v>1747</v>
      </c>
      <c r="B144" s="3" t="s">
        <v>1442</v>
      </c>
      <c r="C144" s="3" t="s">
        <v>18</v>
      </c>
      <c r="D144" s="3" t="s">
        <v>1420</v>
      </c>
      <c r="E144" s="3" t="s">
        <v>1539</v>
      </c>
      <c r="F144" t="s">
        <v>1589</v>
      </c>
      <c r="G144" t="s">
        <v>1423</v>
      </c>
      <c r="H144" s="7">
        <v>46023</v>
      </c>
      <c r="I144" s="7">
        <v>46026</v>
      </c>
      <c r="J144" t="s">
        <v>2552</v>
      </c>
      <c r="K144" t="str">
        <f t="shared" si="11"/>
        <v>White Camera (M)</v>
      </c>
      <c r="L144" t="str">
        <f t="shared" si="8"/>
        <v>Ethan</v>
      </c>
      <c r="M144" t="str">
        <f>SUBSTITUTE(Table1[[#This Row],[Raw_Address]], ", ", " - ")</f>
        <v>Boston - MA</v>
      </c>
      <c r="N144" t="str">
        <f t="shared" si="9"/>
        <v>Q1-2026</v>
      </c>
      <c r="O144" t="str">
        <f t="shared" si="10"/>
        <v>INV/00141/JAN</v>
      </c>
    </row>
    <row r="145" spans="1:15" x14ac:dyDescent="0.35">
      <c r="A145" s="3" t="s">
        <v>1748</v>
      </c>
      <c r="B145" s="3" t="s">
        <v>1453</v>
      </c>
      <c r="C145" s="3" t="s">
        <v>1431</v>
      </c>
      <c r="D145" s="3" t="s">
        <v>1432</v>
      </c>
      <c r="E145" s="3" t="s">
        <v>1542</v>
      </c>
      <c r="F145" t="s">
        <v>1591</v>
      </c>
      <c r="G145" t="s">
        <v>1435</v>
      </c>
      <c r="H145" s="7">
        <v>46118</v>
      </c>
      <c r="I145" s="7">
        <v>46124</v>
      </c>
      <c r="J145" t="s">
        <v>2553</v>
      </c>
      <c r="K145" t="str">
        <f t="shared" si="11"/>
        <v>Gold Desk Lamp (XL)</v>
      </c>
      <c r="L145" t="str">
        <f t="shared" si="8"/>
        <v>Evelyn</v>
      </c>
      <c r="M145" t="str">
        <f>SUBSTITUTE(Table1[[#This Row],[Raw_Address]], ", ", " - ")</f>
        <v>Columbus - OH</v>
      </c>
      <c r="N145" t="str">
        <f t="shared" si="9"/>
        <v>Q2-2026</v>
      </c>
      <c r="O145" t="str">
        <f t="shared" si="10"/>
        <v>INV/00142/APR</v>
      </c>
    </row>
    <row r="146" spans="1:15" x14ac:dyDescent="0.35">
      <c r="A146" s="3" t="s">
        <v>1749</v>
      </c>
      <c r="B146" s="3" t="s">
        <v>1464</v>
      </c>
      <c r="C146" s="3" t="s">
        <v>18</v>
      </c>
      <c r="D146" s="3" t="s">
        <v>1443</v>
      </c>
      <c r="E146" s="3" t="s">
        <v>1545</v>
      </c>
      <c r="F146" t="s">
        <v>1593</v>
      </c>
      <c r="G146" t="s">
        <v>1446</v>
      </c>
      <c r="H146" s="7">
        <v>46214</v>
      </c>
      <c r="I146" s="7">
        <v>46223</v>
      </c>
      <c r="J146" t="s">
        <v>2554</v>
      </c>
      <c r="K146" t="str">
        <f t="shared" si="11"/>
        <v>White Notebook (S)</v>
      </c>
      <c r="L146" t="str">
        <f t="shared" si="8"/>
        <v>Scarlett</v>
      </c>
      <c r="M146" t="str">
        <f>SUBSTITUTE(Table1[[#This Row],[Raw_Address]], ", ", " - ")</f>
        <v>Denver - CO</v>
      </c>
      <c r="N146" t="str">
        <f t="shared" si="9"/>
        <v>Q3-2026</v>
      </c>
      <c r="O146" t="str">
        <f t="shared" si="10"/>
        <v>INV/00143/JUL</v>
      </c>
    </row>
    <row r="147" spans="1:15" x14ac:dyDescent="0.35">
      <c r="A147" s="3" t="s">
        <v>1750</v>
      </c>
      <c r="B147" s="3" t="s">
        <v>1474</v>
      </c>
      <c r="C147" s="3" t="s">
        <v>1431</v>
      </c>
      <c r="D147" s="3" t="s">
        <v>1454</v>
      </c>
      <c r="E147" s="3" t="s">
        <v>1548</v>
      </c>
      <c r="F147" t="s">
        <v>1595</v>
      </c>
      <c r="G147" t="s">
        <v>1457</v>
      </c>
      <c r="H147" s="7">
        <v>46311</v>
      </c>
      <c r="I147" s="7">
        <v>46323</v>
      </c>
      <c r="J147" t="s">
        <v>2555</v>
      </c>
      <c r="K147" t="str">
        <f t="shared" si="11"/>
        <v>Gold Power Bank (L)</v>
      </c>
      <c r="L147" t="str">
        <f t="shared" si="8"/>
        <v>Sofia</v>
      </c>
      <c r="M147" t="str">
        <f>SUBSTITUTE(Table1[[#This Row],[Raw_Address]], ", ", " - ")</f>
        <v>Dallas - TX</v>
      </c>
      <c r="N147" t="str">
        <f t="shared" si="9"/>
        <v>Q4-2026</v>
      </c>
      <c r="O147" t="str">
        <f t="shared" si="10"/>
        <v>INV/00144/OCT</v>
      </c>
    </row>
    <row r="148" spans="1:15" x14ac:dyDescent="0.35">
      <c r="A148" s="3" t="s">
        <v>1751</v>
      </c>
      <c r="B148" s="3" t="s">
        <v>1419</v>
      </c>
      <c r="C148" s="3" t="s">
        <v>18</v>
      </c>
      <c r="D148" s="3" t="s">
        <v>1465</v>
      </c>
      <c r="E148" s="3" t="s">
        <v>1551</v>
      </c>
      <c r="F148" t="s">
        <v>1597</v>
      </c>
      <c r="G148" t="s">
        <v>1468</v>
      </c>
      <c r="H148" s="7">
        <v>46043</v>
      </c>
      <c r="I148" s="7">
        <v>46058</v>
      </c>
      <c r="J148" t="s">
        <v>2550</v>
      </c>
      <c r="K148" t="str">
        <f t="shared" si="11"/>
        <v>White Tablet (XS)</v>
      </c>
      <c r="L148" t="str">
        <f t="shared" si="8"/>
        <v>Priya</v>
      </c>
      <c r="M148" t="str">
        <f>SUBSTITUTE(Table1[[#This Row],[Raw_Address]], ", ", " - ")</f>
        <v>Seattle - WA</v>
      </c>
      <c r="N148" t="str">
        <f t="shared" si="9"/>
        <v>Q1-2026</v>
      </c>
      <c r="O148" t="str">
        <f t="shared" si="10"/>
        <v>INV/00145/JAN</v>
      </c>
    </row>
    <row r="149" spans="1:15" x14ac:dyDescent="0.35">
      <c r="A149" s="3" t="s">
        <v>1752</v>
      </c>
      <c r="B149" s="3" t="s">
        <v>1430</v>
      </c>
      <c r="C149" s="3" t="s">
        <v>1431</v>
      </c>
      <c r="D149" s="3" t="s">
        <v>1420</v>
      </c>
      <c r="E149" s="3" t="s">
        <v>1554</v>
      </c>
      <c r="F149" t="s">
        <v>1599</v>
      </c>
      <c r="G149" t="s">
        <v>1477</v>
      </c>
      <c r="H149" s="7">
        <v>46138</v>
      </c>
      <c r="I149" s="7">
        <v>46156</v>
      </c>
      <c r="J149" t="s">
        <v>2551</v>
      </c>
      <c r="K149" t="str">
        <f t="shared" si="11"/>
        <v>Gold Mouse (M)</v>
      </c>
      <c r="L149" t="str">
        <f t="shared" si="8"/>
        <v>Kabir</v>
      </c>
      <c r="M149" t="str">
        <f>SUBSTITUTE(Table1[[#This Row],[Raw_Address]], ", ", " - ")</f>
        <v>Nashville - TN</v>
      </c>
      <c r="N149" t="str">
        <f t="shared" si="9"/>
        <v>Q2-2026</v>
      </c>
      <c r="O149" t="str">
        <f t="shared" si="10"/>
        <v>INV/00146/APR</v>
      </c>
    </row>
    <row r="150" spans="1:15" x14ac:dyDescent="0.35">
      <c r="A150" s="3" t="s">
        <v>1753</v>
      </c>
      <c r="B150" s="3" t="s">
        <v>1442</v>
      </c>
      <c r="C150" s="3" t="s">
        <v>18</v>
      </c>
      <c r="D150" s="3" t="s">
        <v>1432</v>
      </c>
      <c r="E150" s="3" t="s">
        <v>1557</v>
      </c>
      <c r="F150" t="s">
        <v>1601</v>
      </c>
      <c r="G150" t="s">
        <v>1485</v>
      </c>
      <c r="H150" s="7">
        <v>46206</v>
      </c>
      <c r="I150" s="7">
        <v>46227</v>
      </c>
      <c r="J150" t="s">
        <v>2552</v>
      </c>
      <c r="K150" t="str">
        <f t="shared" si="11"/>
        <v>White Camera (XL)</v>
      </c>
      <c r="L150" t="str">
        <f t="shared" si="8"/>
        <v>Fatima</v>
      </c>
      <c r="M150" t="str">
        <f>SUBSTITUTE(Table1[[#This Row],[Raw_Address]], ", ", " - ")</f>
        <v>Minneapolis - MN</v>
      </c>
      <c r="N150" t="str">
        <f t="shared" si="9"/>
        <v>Q3-2026</v>
      </c>
      <c r="O150" t="str">
        <f t="shared" si="10"/>
        <v>INV/00147/JUL</v>
      </c>
    </row>
    <row r="151" spans="1:15" x14ac:dyDescent="0.35">
      <c r="A151" s="3" t="s">
        <v>1754</v>
      </c>
      <c r="B151" s="3" t="s">
        <v>1453</v>
      </c>
      <c r="C151" s="3" t="s">
        <v>1431</v>
      </c>
      <c r="D151" s="3" t="s">
        <v>1443</v>
      </c>
      <c r="E151" s="3" t="s">
        <v>1560</v>
      </c>
      <c r="F151" t="s">
        <v>1603</v>
      </c>
      <c r="G151" t="s">
        <v>1489</v>
      </c>
      <c r="H151" s="7">
        <v>46303</v>
      </c>
      <c r="I151" s="7">
        <v>46327</v>
      </c>
      <c r="J151" t="s">
        <v>2553</v>
      </c>
      <c r="K151" t="str">
        <f t="shared" si="11"/>
        <v>Gold Desk Lamp (S)</v>
      </c>
      <c r="L151" t="str">
        <f t="shared" si="8"/>
        <v>Grace</v>
      </c>
      <c r="M151" t="str">
        <f>SUBSTITUTE(Table1[[#This Row],[Raw_Address]], ", ", " - ")</f>
        <v>Atlanta - GA</v>
      </c>
      <c r="N151" t="str">
        <f t="shared" si="9"/>
        <v>Q4-2026</v>
      </c>
      <c r="O151" t="str">
        <f t="shared" si="10"/>
        <v>INV/00148/OCT</v>
      </c>
    </row>
    <row r="152" spans="1:15" x14ac:dyDescent="0.35">
      <c r="A152" s="3" t="s">
        <v>1755</v>
      </c>
      <c r="B152" s="3" t="s">
        <v>1464</v>
      </c>
      <c r="C152" s="3" t="s">
        <v>18</v>
      </c>
      <c r="D152" s="3" t="s">
        <v>1454</v>
      </c>
      <c r="E152" s="3" t="s">
        <v>1563</v>
      </c>
      <c r="F152" t="s">
        <v>1605</v>
      </c>
      <c r="G152" t="s">
        <v>1493</v>
      </c>
      <c r="H152" s="7">
        <v>46035</v>
      </c>
      <c r="I152" s="7">
        <v>46062</v>
      </c>
      <c r="J152" t="s">
        <v>2554</v>
      </c>
      <c r="K152" t="str">
        <f t="shared" si="11"/>
        <v>White Notebook (L)</v>
      </c>
      <c r="L152" t="str">
        <f t="shared" si="8"/>
        <v>David</v>
      </c>
      <c r="M152" t="str">
        <f>SUBSTITUTE(Table1[[#This Row],[Raw_Address]], ", ", " - ")</f>
        <v>Tampa - FL</v>
      </c>
      <c r="N152" t="str">
        <f t="shared" si="9"/>
        <v>Q1-2026</v>
      </c>
      <c r="O152" t="str">
        <f t="shared" si="10"/>
        <v>INV/00149/JAN</v>
      </c>
    </row>
    <row r="153" spans="1:15" x14ac:dyDescent="0.35">
      <c r="A153" s="3" t="s">
        <v>1756</v>
      </c>
      <c r="B153" s="3" t="s">
        <v>1474</v>
      </c>
      <c r="C153" s="3" t="s">
        <v>1431</v>
      </c>
      <c r="D153" s="3" t="s">
        <v>1465</v>
      </c>
      <c r="E153" s="3" t="s">
        <v>1566</v>
      </c>
      <c r="F153" t="s">
        <v>1607</v>
      </c>
      <c r="G153" t="s">
        <v>1497</v>
      </c>
      <c r="H153" s="7">
        <v>46130</v>
      </c>
      <c r="I153" s="7">
        <v>46160</v>
      </c>
      <c r="J153" t="s">
        <v>2555</v>
      </c>
      <c r="K153" t="str">
        <f t="shared" si="11"/>
        <v>Gold Power Bank (XS)</v>
      </c>
      <c r="L153" t="str">
        <f t="shared" si="8"/>
        <v>Anaya</v>
      </c>
      <c r="M153" t="str">
        <f>SUBSTITUTE(Table1[[#This Row],[Raw_Address]], ", ", " - ")</f>
        <v>Phoenix - AZ</v>
      </c>
      <c r="N153" t="str">
        <f t="shared" si="9"/>
        <v>Q2-2026</v>
      </c>
      <c r="O153" t="str">
        <f t="shared" si="10"/>
        <v>INV/00150/APR</v>
      </c>
    </row>
    <row r="154" spans="1:15" x14ac:dyDescent="0.35">
      <c r="A154" s="3" t="s">
        <v>1757</v>
      </c>
      <c r="B154" s="3" t="s">
        <v>1419</v>
      </c>
      <c r="C154" s="3" t="s">
        <v>18</v>
      </c>
      <c r="D154" s="3" t="s">
        <v>1420</v>
      </c>
      <c r="E154" s="3" t="s">
        <v>1421</v>
      </c>
      <c r="F154" t="s">
        <v>1609</v>
      </c>
      <c r="G154" t="s">
        <v>1501</v>
      </c>
      <c r="H154" s="7">
        <v>46226</v>
      </c>
      <c r="I154" s="7">
        <v>46229</v>
      </c>
      <c r="J154" t="s">
        <v>2550</v>
      </c>
      <c r="K154" t="str">
        <f t="shared" si="11"/>
        <v>White Tablet (M)</v>
      </c>
      <c r="L154" t="str">
        <f t="shared" si="8"/>
        <v>Emma</v>
      </c>
      <c r="M154" t="str">
        <f>SUBSTITUTE(Table1[[#This Row],[Raw_Address]], ", ", " - ")</f>
        <v>Raleigh - NC</v>
      </c>
      <c r="N154" t="str">
        <f t="shared" si="9"/>
        <v>Q3-2026</v>
      </c>
      <c r="O154" t="str">
        <f t="shared" si="10"/>
        <v>INV/00151/JUL</v>
      </c>
    </row>
    <row r="155" spans="1:15" x14ac:dyDescent="0.35">
      <c r="A155" s="3" t="s">
        <v>1758</v>
      </c>
      <c r="B155" s="3" t="s">
        <v>1430</v>
      </c>
      <c r="C155" s="3" t="s">
        <v>1431</v>
      </c>
      <c r="D155" s="3" t="s">
        <v>1432</v>
      </c>
      <c r="E155" s="3" t="s">
        <v>1433</v>
      </c>
      <c r="F155" t="s">
        <v>1611</v>
      </c>
      <c r="G155" t="s">
        <v>1505</v>
      </c>
      <c r="H155" s="7">
        <v>46323</v>
      </c>
      <c r="I155" s="7">
        <v>46329</v>
      </c>
      <c r="J155" t="s">
        <v>2551</v>
      </c>
      <c r="K155" t="str">
        <f t="shared" si="11"/>
        <v>Gold Mouse (XL)</v>
      </c>
      <c r="L155" t="str">
        <f t="shared" si="8"/>
        <v>Mason</v>
      </c>
      <c r="M155" t="str">
        <f>SUBSTITUTE(Table1[[#This Row],[Raw_Address]], ", ", " - ")</f>
        <v>Miami - FL</v>
      </c>
      <c r="N155" t="str">
        <f t="shared" si="9"/>
        <v>Q4-2026</v>
      </c>
      <c r="O155" t="str">
        <f t="shared" si="10"/>
        <v>INV/00152/OCT</v>
      </c>
    </row>
    <row r="156" spans="1:15" x14ac:dyDescent="0.35">
      <c r="A156" s="3" t="s">
        <v>1759</v>
      </c>
      <c r="B156" s="3" t="s">
        <v>1442</v>
      </c>
      <c r="C156" s="3" t="s">
        <v>18</v>
      </c>
      <c r="D156" s="3" t="s">
        <v>1443</v>
      </c>
      <c r="E156" s="3" t="s">
        <v>1444</v>
      </c>
      <c r="F156" t="s">
        <v>1613</v>
      </c>
      <c r="G156" t="s">
        <v>1509</v>
      </c>
      <c r="H156" s="7">
        <v>46027</v>
      </c>
      <c r="I156" s="7">
        <v>46036</v>
      </c>
      <c r="J156" t="s">
        <v>2552</v>
      </c>
      <c r="K156" t="str">
        <f t="shared" si="11"/>
        <v>White Camera (S)</v>
      </c>
      <c r="L156" t="str">
        <f t="shared" si="8"/>
        <v>Amelia</v>
      </c>
      <c r="M156" t="str">
        <f>SUBSTITUTE(Table1[[#This Row],[Raw_Address]], ", ", " - ")</f>
        <v>Charlotte - NC</v>
      </c>
      <c r="N156" t="str">
        <f t="shared" si="9"/>
        <v>Q1-2026</v>
      </c>
      <c r="O156" t="str">
        <f t="shared" si="10"/>
        <v>INV/00153/JAN</v>
      </c>
    </row>
    <row r="157" spans="1:15" x14ac:dyDescent="0.35">
      <c r="A157" s="3" t="s">
        <v>1760</v>
      </c>
      <c r="B157" s="3" t="s">
        <v>1453</v>
      </c>
      <c r="C157" s="3" t="s">
        <v>1431</v>
      </c>
      <c r="D157" s="3" t="s">
        <v>1454</v>
      </c>
      <c r="E157" s="3" t="s">
        <v>1455</v>
      </c>
      <c r="F157" t="s">
        <v>1615</v>
      </c>
      <c r="G157" t="s">
        <v>1513</v>
      </c>
      <c r="H157" s="7">
        <v>46122</v>
      </c>
      <c r="I157" s="7">
        <v>46134</v>
      </c>
      <c r="J157" t="s">
        <v>2553</v>
      </c>
      <c r="K157" t="str">
        <f t="shared" si="11"/>
        <v>Gold Desk Lamp (L)</v>
      </c>
      <c r="L157" t="str">
        <f t="shared" si="8"/>
        <v>Charlotte</v>
      </c>
      <c r="M157" t="str">
        <f>SUBSTITUTE(Table1[[#This Row],[Raw_Address]], ", ", " - ")</f>
        <v>Austin - TX</v>
      </c>
      <c r="N157" t="str">
        <f t="shared" si="9"/>
        <v>Q2-2026</v>
      </c>
      <c r="O157" t="str">
        <f t="shared" si="10"/>
        <v>INV/00154/APR</v>
      </c>
    </row>
    <row r="158" spans="1:15" x14ac:dyDescent="0.35">
      <c r="A158" s="3" t="s">
        <v>1761</v>
      </c>
      <c r="B158" s="3" t="s">
        <v>1464</v>
      </c>
      <c r="C158" s="3" t="s">
        <v>18</v>
      </c>
      <c r="D158" s="3" t="s">
        <v>1465</v>
      </c>
      <c r="E158" s="3" t="s">
        <v>1466</v>
      </c>
      <c r="F158" t="s">
        <v>1617</v>
      </c>
      <c r="G158" t="s">
        <v>1517</v>
      </c>
      <c r="H158" s="7">
        <v>46218</v>
      </c>
      <c r="I158" s="7">
        <v>46233</v>
      </c>
      <c r="J158" t="s">
        <v>2554</v>
      </c>
      <c r="K158" t="str">
        <f t="shared" si="11"/>
        <v>White Notebook (XS)</v>
      </c>
      <c r="L158" t="str">
        <f t="shared" si="8"/>
        <v>Henry</v>
      </c>
      <c r="M158" t="str">
        <f>SUBSTITUTE(Table1[[#This Row],[Raw_Address]], ", ", " - ")</f>
        <v>San Diego - CA</v>
      </c>
      <c r="N158" t="str">
        <f t="shared" si="9"/>
        <v>Q3-2026</v>
      </c>
      <c r="O158" t="str">
        <f t="shared" si="10"/>
        <v>INV/00155/JUL</v>
      </c>
    </row>
    <row r="159" spans="1:15" x14ac:dyDescent="0.35">
      <c r="A159" s="3" t="s">
        <v>1762</v>
      </c>
      <c r="B159" s="3" t="s">
        <v>1474</v>
      </c>
      <c r="C159" s="3" t="s">
        <v>1431</v>
      </c>
      <c r="D159" s="3" t="s">
        <v>1420</v>
      </c>
      <c r="E159" s="3" t="s">
        <v>1475</v>
      </c>
      <c r="F159" t="s">
        <v>1619</v>
      </c>
      <c r="G159" t="s">
        <v>1521</v>
      </c>
      <c r="H159" s="7">
        <v>46315</v>
      </c>
      <c r="I159" s="7">
        <v>46333</v>
      </c>
      <c r="J159" t="s">
        <v>2555</v>
      </c>
      <c r="K159" t="str">
        <f t="shared" si="11"/>
        <v>Gold Power Bank (M)</v>
      </c>
      <c r="L159" t="str">
        <f t="shared" si="8"/>
        <v>Michael</v>
      </c>
      <c r="M159" t="str">
        <f>SUBSTITUTE(Table1[[#This Row],[Raw_Address]], ", ", " - ")</f>
        <v>Kansas City - MO</v>
      </c>
      <c r="N159" t="str">
        <f t="shared" si="9"/>
        <v>Q4-2026</v>
      </c>
      <c r="O159" t="str">
        <f t="shared" si="10"/>
        <v>INV/00156/OCT</v>
      </c>
    </row>
    <row r="160" spans="1:15" x14ac:dyDescent="0.35">
      <c r="A160" s="3" t="s">
        <v>1763</v>
      </c>
      <c r="B160" s="3" t="s">
        <v>1419</v>
      </c>
      <c r="C160" s="3" t="s">
        <v>18</v>
      </c>
      <c r="D160" s="3" t="s">
        <v>1432</v>
      </c>
      <c r="E160" s="3" t="s">
        <v>1483</v>
      </c>
      <c r="F160" t="s">
        <v>1621</v>
      </c>
      <c r="G160" t="s">
        <v>1525</v>
      </c>
      <c r="H160" s="7">
        <v>46047</v>
      </c>
      <c r="I160" s="7">
        <v>46068</v>
      </c>
      <c r="J160" t="s">
        <v>2550</v>
      </c>
      <c r="K160" t="str">
        <f t="shared" si="11"/>
        <v>White Tablet (XL)</v>
      </c>
      <c r="L160" t="str">
        <f t="shared" si="8"/>
        <v>Mateo</v>
      </c>
      <c r="M160" t="str">
        <f>SUBSTITUTE(Table1[[#This Row],[Raw_Address]], ", ", " - ")</f>
        <v>Portland - OR</v>
      </c>
      <c r="N160" t="str">
        <f t="shared" si="9"/>
        <v>Q1-2026</v>
      </c>
      <c r="O160" t="str">
        <f t="shared" si="10"/>
        <v>INV/00157/JAN</v>
      </c>
    </row>
    <row r="161" spans="1:15" x14ac:dyDescent="0.35">
      <c r="A161" s="3" t="s">
        <v>1764</v>
      </c>
      <c r="B161" s="3" t="s">
        <v>1430</v>
      </c>
      <c r="C161" s="3" t="s">
        <v>1431</v>
      </c>
      <c r="D161" s="3" t="s">
        <v>1443</v>
      </c>
      <c r="E161" s="3" t="s">
        <v>1487</v>
      </c>
      <c r="F161" t="s">
        <v>1623</v>
      </c>
      <c r="G161" t="s">
        <v>1529</v>
      </c>
      <c r="H161" s="7">
        <v>46114</v>
      </c>
      <c r="I161" s="7">
        <v>46138</v>
      </c>
      <c r="J161" t="s">
        <v>2551</v>
      </c>
      <c r="K161" t="str">
        <f t="shared" si="11"/>
        <v>Gold Mouse (S)</v>
      </c>
      <c r="L161" t="str">
        <f t="shared" si="8"/>
        <v>Sana</v>
      </c>
      <c r="M161" t="str">
        <f>SUBSTITUTE(Table1[[#This Row],[Raw_Address]], ", ", " - ")</f>
        <v>Las Vegas - NV</v>
      </c>
      <c r="N161" t="str">
        <f t="shared" si="9"/>
        <v>Q2-2026</v>
      </c>
      <c r="O161" t="str">
        <f t="shared" si="10"/>
        <v>INV/00158/APR</v>
      </c>
    </row>
    <row r="162" spans="1:15" x14ac:dyDescent="0.35">
      <c r="A162" s="3" t="s">
        <v>1765</v>
      </c>
      <c r="B162" s="3" t="s">
        <v>1442</v>
      </c>
      <c r="C162" s="3" t="s">
        <v>18</v>
      </c>
      <c r="D162" s="3" t="s">
        <v>1454</v>
      </c>
      <c r="E162" s="3" t="s">
        <v>1491</v>
      </c>
      <c r="F162" t="s">
        <v>1625</v>
      </c>
      <c r="G162" t="s">
        <v>1533</v>
      </c>
      <c r="H162" s="7">
        <v>46210</v>
      </c>
      <c r="I162" s="7">
        <v>46237</v>
      </c>
      <c r="J162" t="s">
        <v>2552</v>
      </c>
      <c r="K162" t="str">
        <f t="shared" si="11"/>
        <v>White Camera (L)</v>
      </c>
      <c r="L162" t="str">
        <f t="shared" si="8"/>
        <v>Omar</v>
      </c>
      <c r="M162" t="str">
        <f>SUBSTITUTE(Table1[[#This Row],[Raw_Address]], ", ", " - ")</f>
        <v>Chicago - IL</v>
      </c>
      <c r="N162" t="str">
        <f t="shared" si="9"/>
        <v>Q3-2026</v>
      </c>
      <c r="O162" t="str">
        <f t="shared" si="10"/>
        <v>INV/00159/JUL</v>
      </c>
    </row>
    <row r="163" spans="1:15" x14ac:dyDescent="0.35">
      <c r="A163" s="3" t="s">
        <v>1766</v>
      </c>
      <c r="B163" s="3" t="s">
        <v>1453</v>
      </c>
      <c r="C163" s="3" t="s">
        <v>1431</v>
      </c>
      <c r="D163" s="3" t="s">
        <v>1465</v>
      </c>
      <c r="E163" s="3" t="s">
        <v>1495</v>
      </c>
      <c r="F163" t="s">
        <v>1627</v>
      </c>
      <c r="G163" t="s">
        <v>1537</v>
      </c>
      <c r="H163" s="7">
        <v>46307</v>
      </c>
      <c r="I163" s="7">
        <v>46337</v>
      </c>
      <c r="J163" t="s">
        <v>2553</v>
      </c>
      <c r="K163" t="str">
        <f t="shared" si="11"/>
        <v>Gold Desk Lamp (XS)</v>
      </c>
      <c r="L163" t="str">
        <f t="shared" si="8"/>
        <v>Nina</v>
      </c>
      <c r="M163" t="str">
        <f>SUBSTITUTE(Table1[[#This Row],[Raw_Address]], ", ", " - ")</f>
        <v>Detroit - MI</v>
      </c>
      <c r="N163" t="str">
        <f t="shared" si="9"/>
        <v>Q4-2026</v>
      </c>
      <c r="O163" t="str">
        <f t="shared" si="10"/>
        <v>INV/00160/OCT</v>
      </c>
    </row>
    <row r="164" spans="1:15" x14ac:dyDescent="0.35">
      <c r="A164" s="3" t="s">
        <v>1767</v>
      </c>
      <c r="B164" s="3" t="s">
        <v>1464</v>
      </c>
      <c r="C164" s="3" t="s">
        <v>18</v>
      </c>
      <c r="D164" s="3" t="s">
        <v>1420</v>
      </c>
      <c r="E164" s="3" t="s">
        <v>1499</v>
      </c>
      <c r="F164" t="s">
        <v>1629</v>
      </c>
      <c r="G164" t="s">
        <v>1423</v>
      </c>
      <c r="H164" s="7">
        <v>46039</v>
      </c>
      <c r="I164" s="7">
        <v>46042</v>
      </c>
      <c r="J164" t="s">
        <v>2554</v>
      </c>
      <c r="K164" t="str">
        <f t="shared" si="11"/>
        <v>White Notebook (M)</v>
      </c>
      <c r="L164" t="str">
        <f t="shared" si="8"/>
        <v>Jack</v>
      </c>
      <c r="M164" t="str">
        <f>SUBSTITUTE(Table1[[#This Row],[Raw_Address]], ", ", " - ")</f>
        <v>Boston - MA</v>
      </c>
      <c r="N164" t="str">
        <f t="shared" si="9"/>
        <v>Q1-2026</v>
      </c>
      <c r="O164" t="str">
        <f t="shared" si="10"/>
        <v>INV/00161/JAN</v>
      </c>
    </row>
    <row r="165" spans="1:15" x14ac:dyDescent="0.35">
      <c r="A165" s="3" t="s">
        <v>1768</v>
      </c>
      <c r="B165" s="3" t="s">
        <v>1474</v>
      </c>
      <c r="C165" s="3" t="s">
        <v>1431</v>
      </c>
      <c r="D165" s="3" t="s">
        <v>1432</v>
      </c>
      <c r="E165" s="3" t="s">
        <v>1503</v>
      </c>
      <c r="F165" t="s">
        <v>1631</v>
      </c>
      <c r="G165" t="s">
        <v>1435</v>
      </c>
      <c r="H165" s="7">
        <v>46134</v>
      </c>
      <c r="I165" s="7">
        <v>46140</v>
      </c>
      <c r="J165" t="s">
        <v>2555</v>
      </c>
      <c r="K165" t="str">
        <f t="shared" si="11"/>
        <v>Gold Power Bank (XL)</v>
      </c>
      <c r="L165" t="str">
        <f t="shared" si="8"/>
        <v>Victor</v>
      </c>
      <c r="M165" t="str">
        <f>SUBSTITUTE(Table1[[#This Row],[Raw_Address]], ", ", " - ")</f>
        <v>Columbus - OH</v>
      </c>
      <c r="N165" t="str">
        <f t="shared" si="9"/>
        <v>Q2-2026</v>
      </c>
      <c r="O165" t="str">
        <f t="shared" si="10"/>
        <v>INV/00162/APR</v>
      </c>
    </row>
    <row r="166" spans="1:15" x14ac:dyDescent="0.35">
      <c r="A166" s="3" t="s">
        <v>1769</v>
      </c>
      <c r="B166" s="3" t="s">
        <v>1419</v>
      </c>
      <c r="C166" s="3" t="s">
        <v>18</v>
      </c>
      <c r="D166" s="3" t="s">
        <v>1443</v>
      </c>
      <c r="E166" s="3" t="s">
        <v>1507</v>
      </c>
      <c r="F166" t="s">
        <v>1633</v>
      </c>
      <c r="G166" t="s">
        <v>1446</v>
      </c>
      <c r="H166" s="7">
        <v>46230</v>
      </c>
      <c r="I166" s="7">
        <v>46239</v>
      </c>
      <c r="J166" t="s">
        <v>2550</v>
      </c>
      <c r="K166" t="str">
        <f t="shared" si="11"/>
        <v>White Tablet (S)</v>
      </c>
      <c r="L166" t="str">
        <f t="shared" si="8"/>
        <v>Liam</v>
      </c>
      <c r="M166" t="str">
        <f>SUBSTITUTE(Table1[[#This Row],[Raw_Address]], ", ", " - ")</f>
        <v>Denver - CO</v>
      </c>
      <c r="N166" t="str">
        <f t="shared" si="9"/>
        <v>Q3-2026</v>
      </c>
      <c r="O166" t="str">
        <f t="shared" si="10"/>
        <v>INV/00163/JUL</v>
      </c>
    </row>
    <row r="167" spans="1:15" x14ac:dyDescent="0.35">
      <c r="A167" s="3" t="s">
        <v>1770</v>
      </c>
      <c r="B167" s="3" t="s">
        <v>1430</v>
      </c>
      <c r="C167" s="3" t="s">
        <v>1431</v>
      </c>
      <c r="D167" s="3" t="s">
        <v>1454</v>
      </c>
      <c r="E167" s="3" t="s">
        <v>1511</v>
      </c>
      <c r="F167" t="s">
        <v>1635</v>
      </c>
      <c r="G167" t="s">
        <v>1457</v>
      </c>
      <c r="H167" s="7">
        <v>46299</v>
      </c>
      <c r="I167" s="7">
        <v>46311</v>
      </c>
      <c r="J167" t="s">
        <v>2551</v>
      </c>
      <c r="K167" t="str">
        <f t="shared" si="11"/>
        <v>Gold Mouse (L)</v>
      </c>
      <c r="L167" t="str">
        <f t="shared" si="8"/>
        <v>Elijah</v>
      </c>
      <c r="M167" t="str">
        <f>SUBSTITUTE(Table1[[#This Row],[Raw_Address]], ", ", " - ")</f>
        <v>Dallas - TX</v>
      </c>
      <c r="N167" t="str">
        <f t="shared" si="9"/>
        <v>Q4-2026</v>
      </c>
      <c r="O167" t="str">
        <f t="shared" si="10"/>
        <v>INV/00164/OCT</v>
      </c>
    </row>
    <row r="168" spans="1:15" x14ac:dyDescent="0.35">
      <c r="A168" s="3" t="s">
        <v>1771</v>
      </c>
      <c r="B168" s="3" t="s">
        <v>1442</v>
      </c>
      <c r="C168" s="3" t="s">
        <v>18</v>
      </c>
      <c r="D168" s="3" t="s">
        <v>1465</v>
      </c>
      <c r="E168" s="3" t="s">
        <v>1515</v>
      </c>
      <c r="F168" t="s">
        <v>1637</v>
      </c>
      <c r="G168" t="s">
        <v>1468</v>
      </c>
      <c r="H168" s="7">
        <v>46031</v>
      </c>
      <c r="I168" s="7">
        <v>46046</v>
      </c>
      <c r="J168" t="s">
        <v>2552</v>
      </c>
      <c r="K168" t="str">
        <f t="shared" si="11"/>
        <v>White Camera (XS)</v>
      </c>
      <c r="L168" t="str">
        <f t="shared" si="8"/>
        <v>Lucas</v>
      </c>
      <c r="M168" t="str">
        <f>SUBSTITUTE(Table1[[#This Row],[Raw_Address]], ", ", " - ")</f>
        <v>Seattle - WA</v>
      </c>
      <c r="N168" t="str">
        <f t="shared" si="9"/>
        <v>Q1-2026</v>
      </c>
      <c r="O168" t="str">
        <f t="shared" si="10"/>
        <v>INV/00165/JAN</v>
      </c>
    </row>
    <row r="169" spans="1:15" x14ac:dyDescent="0.35">
      <c r="A169" s="3" t="s">
        <v>1772</v>
      </c>
      <c r="B169" s="3" t="s">
        <v>1453</v>
      </c>
      <c r="C169" s="3" t="s">
        <v>1431</v>
      </c>
      <c r="D169" s="3" t="s">
        <v>1420</v>
      </c>
      <c r="E169" s="3" t="s">
        <v>1519</v>
      </c>
      <c r="F169" t="s">
        <v>1639</v>
      </c>
      <c r="G169" t="s">
        <v>1477</v>
      </c>
      <c r="H169" s="7">
        <v>46126</v>
      </c>
      <c r="I169" s="7">
        <v>46144</v>
      </c>
      <c r="J169" t="s">
        <v>2553</v>
      </c>
      <c r="K169" t="str">
        <f t="shared" si="11"/>
        <v>Gold Desk Lamp (M)</v>
      </c>
      <c r="L169" t="str">
        <f t="shared" si="8"/>
        <v>Ethan</v>
      </c>
      <c r="M169" t="str">
        <f>SUBSTITUTE(Table1[[#This Row],[Raw_Address]], ", ", " - ")</f>
        <v>Nashville - TN</v>
      </c>
      <c r="N169" t="str">
        <f t="shared" si="9"/>
        <v>Q2-2026</v>
      </c>
      <c r="O169" t="str">
        <f t="shared" si="10"/>
        <v>INV/00166/APR</v>
      </c>
    </row>
    <row r="170" spans="1:15" x14ac:dyDescent="0.35">
      <c r="A170" s="3" t="s">
        <v>1773</v>
      </c>
      <c r="B170" s="3" t="s">
        <v>1464</v>
      </c>
      <c r="C170" s="3" t="s">
        <v>18</v>
      </c>
      <c r="D170" s="3" t="s">
        <v>1432</v>
      </c>
      <c r="E170" s="3" t="s">
        <v>1523</v>
      </c>
      <c r="F170" t="s">
        <v>1641</v>
      </c>
      <c r="G170" t="s">
        <v>1485</v>
      </c>
      <c r="H170" s="7">
        <v>46222</v>
      </c>
      <c r="I170" s="7">
        <v>46243</v>
      </c>
      <c r="J170" t="s">
        <v>2554</v>
      </c>
      <c r="K170" t="str">
        <f t="shared" si="11"/>
        <v>White Notebook (XL)</v>
      </c>
      <c r="L170" t="str">
        <f t="shared" si="8"/>
        <v>Evelyn</v>
      </c>
      <c r="M170" t="str">
        <f>SUBSTITUTE(Table1[[#This Row],[Raw_Address]], ", ", " - ")</f>
        <v>Minneapolis - MN</v>
      </c>
      <c r="N170" t="str">
        <f t="shared" si="9"/>
        <v>Q3-2026</v>
      </c>
      <c r="O170" t="str">
        <f t="shared" si="10"/>
        <v>INV/00167/JUL</v>
      </c>
    </row>
    <row r="171" spans="1:15" x14ac:dyDescent="0.35">
      <c r="A171" s="3" t="s">
        <v>1774</v>
      </c>
      <c r="B171" s="3" t="s">
        <v>1474</v>
      </c>
      <c r="C171" s="3" t="s">
        <v>1431</v>
      </c>
      <c r="D171" s="3" t="s">
        <v>1443</v>
      </c>
      <c r="E171" s="3" t="s">
        <v>1527</v>
      </c>
      <c r="F171" t="s">
        <v>1643</v>
      </c>
      <c r="G171" t="s">
        <v>1489</v>
      </c>
      <c r="H171" s="7">
        <v>46319</v>
      </c>
      <c r="I171" s="7">
        <v>46343</v>
      </c>
      <c r="J171" t="s">
        <v>2555</v>
      </c>
      <c r="K171" t="str">
        <f t="shared" si="11"/>
        <v>Gold Power Bank (S)</v>
      </c>
      <c r="L171" t="str">
        <f t="shared" si="8"/>
        <v>Scarlett</v>
      </c>
      <c r="M171" t="str">
        <f>SUBSTITUTE(Table1[[#This Row],[Raw_Address]], ", ", " - ")</f>
        <v>Atlanta - GA</v>
      </c>
      <c r="N171" t="str">
        <f t="shared" si="9"/>
        <v>Q4-2026</v>
      </c>
      <c r="O171" t="str">
        <f t="shared" si="10"/>
        <v>INV/00168/OCT</v>
      </c>
    </row>
    <row r="172" spans="1:15" x14ac:dyDescent="0.35">
      <c r="A172" s="3" t="s">
        <v>1775</v>
      </c>
      <c r="B172" s="3" t="s">
        <v>1419</v>
      </c>
      <c r="C172" s="3" t="s">
        <v>18</v>
      </c>
      <c r="D172" s="3" t="s">
        <v>1454</v>
      </c>
      <c r="E172" s="3" t="s">
        <v>1531</v>
      </c>
      <c r="F172" t="s">
        <v>1645</v>
      </c>
      <c r="G172" t="s">
        <v>1493</v>
      </c>
      <c r="H172" s="7">
        <v>46023</v>
      </c>
      <c r="I172" s="7">
        <v>46050</v>
      </c>
      <c r="J172" t="s">
        <v>2550</v>
      </c>
      <c r="K172" t="str">
        <f t="shared" si="11"/>
        <v>White Tablet (L)</v>
      </c>
      <c r="L172" t="str">
        <f t="shared" si="8"/>
        <v>Sofia</v>
      </c>
      <c r="M172" t="str">
        <f>SUBSTITUTE(Table1[[#This Row],[Raw_Address]], ", ", " - ")</f>
        <v>Tampa - FL</v>
      </c>
      <c r="N172" t="str">
        <f t="shared" si="9"/>
        <v>Q1-2026</v>
      </c>
      <c r="O172" t="str">
        <f t="shared" si="10"/>
        <v>INV/00169/JAN</v>
      </c>
    </row>
    <row r="173" spans="1:15" x14ac:dyDescent="0.35">
      <c r="A173" s="3" t="s">
        <v>1776</v>
      </c>
      <c r="B173" s="3" t="s">
        <v>1430</v>
      </c>
      <c r="C173" s="3" t="s">
        <v>1431</v>
      </c>
      <c r="D173" s="3" t="s">
        <v>1465</v>
      </c>
      <c r="E173" s="3" t="s">
        <v>1535</v>
      </c>
      <c r="F173" t="s">
        <v>1647</v>
      </c>
      <c r="G173" t="s">
        <v>1497</v>
      </c>
      <c r="H173" s="7">
        <v>46118</v>
      </c>
      <c r="I173" s="7">
        <v>46148</v>
      </c>
      <c r="J173" t="s">
        <v>2551</v>
      </c>
      <c r="K173" t="str">
        <f t="shared" si="11"/>
        <v>Gold Mouse (XS)</v>
      </c>
      <c r="L173" t="str">
        <f t="shared" si="8"/>
        <v>Priya</v>
      </c>
      <c r="M173" t="str">
        <f>SUBSTITUTE(Table1[[#This Row],[Raw_Address]], ", ", " - ")</f>
        <v>Phoenix - AZ</v>
      </c>
      <c r="N173" t="str">
        <f t="shared" si="9"/>
        <v>Q2-2026</v>
      </c>
      <c r="O173" t="str">
        <f t="shared" si="10"/>
        <v>INV/00170/APR</v>
      </c>
    </row>
    <row r="174" spans="1:15" x14ac:dyDescent="0.35">
      <c r="A174" s="3" t="s">
        <v>1777</v>
      </c>
      <c r="B174" s="3" t="s">
        <v>1442</v>
      </c>
      <c r="C174" s="3" t="s">
        <v>18</v>
      </c>
      <c r="D174" s="3" t="s">
        <v>1420</v>
      </c>
      <c r="E174" s="3" t="s">
        <v>1539</v>
      </c>
      <c r="F174" t="s">
        <v>1649</v>
      </c>
      <c r="G174" t="s">
        <v>1501</v>
      </c>
      <c r="H174" s="7">
        <v>46214</v>
      </c>
      <c r="I174" s="7">
        <v>46217</v>
      </c>
      <c r="J174" t="s">
        <v>2552</v>
      </c>
      <c r="K174" t="str">
        <f t="shared" si="11"/>
        <v>White Camera (M)</v>
      </c>
      <c r="L174" t="str">
        <f t="shared" si="8"/>
        <v>Kabir</v>
      </c>
      <c r="M174" t="str">
        <f>SUBSTITUTE(Table1[[#This Row],[Raw_Address]], ", ", " - ")</f>
        <v>Raleigh - NC</v>
      </c>
      <c r="N174" t="str">
        <f t="shared" si="9"/>
        <v>Q3-2026</v>
      </c>
      <c r="O174" t="str">
        <f t="shared" si="10"/>
        <v>INV/00171/JUL</v>
      </c>
    </row>
    <row r="175" spans="1:15" x14ac:dyDescent="0.35">
      <c r="A175" s="3" t="s">
        <v>1778</v>
      </c>
      <c r="B175" s="3" t="s">
        <v>1453</v>
      </c>
      <c r="C175" s="3" t="s">
        <v>1431</v>
      </c>
      <c r="D175" s="3" t="s">
        <v>1432</v>
      </c>
      <c r="E175" s="3" t="s">
        <v>1542</v>
      </c>
      <c r="F175" t="s">
        <v>1651</v>
      </c>
      <c r="G175" t="s">
        <v>1505</v>
      </c>
      <c r="H175" s="7">
        <v>46311</v>
      </c>
      <c r="I175" s="7">
        <v>46317</v>
      </c>
      <c r="J175" t="s">
        <v>2553</v>
      </c>
      <c r="K175" t="str">
        <f t="shared" si="11"/>
        <v>Gold Desk Lamp (XL)</v>
      </c>
      <c r="L175" t="str">
        <f t="shared" si="8"/>
        <v>Fatima</v>
      </c>
      <c r="M175" t="str">
        <f>SUBSTITUTE(Table1[[#This Row],[Raw_Address]], ", ", " - ")</f>
        <v>Miami - FL</v>
      </c>
      <c r="N175" t="str">
        <f t="shared" si="9"/>
        <v>Q4-2026</v>
      </c>
      <c r="O175" t="str">
        <f t="shared" si="10"/>
        <v>INV/00172/OCT</v>
      </c>
    </row>
    <row r="176" spans="1:15" x14ac:dyDescent="0.35">
      <c r="A176" s="3" t="s">
        <v>1779</v>
      </c>
      <c r="B176" s="3" t="s">
        <v>1464</v>
      </c>
      <c r="C176" s="3" t="s">
        <v>18</v>
      </c>
      <c r="D176" s="3" t="s">
        <v>1443</v>
      </c>
      <c r="E176" s="3" t="s">
        <v>1545</v>
      </c>
      <c r="F176" t="s">
        <v>1653</v>
      </c>
      <c r="G176" t="s">
        <v>1509</v>
      </c>
      <c r="H176" s="7">
        <v>46043</v>
      </c>
      <c r="I176" s="7">
        <v>46052</v>
      </c>
      <c r="J176" t="s">
        <v>2554</v>
      </c>
      <c r="K176" t="str">
        <f t="shared" si="11"/>
        <v>White Notebook (S)</v>
      </c>
      <c r="L176" t="str">
        <f t="shared" si="8"/>
        <v>Grace</v>
      </c>
      <c r="M176" t="str">
        <f>SUBSTITUTE(Table1[[#This Row],[Raw_Address]], ", ", " - ")</f>
        <v>Charlotte - NC</v>
      </c>
      <c r="N176" t="str">
        <f t="shared" si="9"/>
        <v>Q1-2026</v>
      </c>
      <c r="O176" t="str">
        <f t="shared" si="10"/>
        <v>INV/00173/JAN</v>
      </c>
    </row>
    <row r="177" spans="1:15" x14ac:dyDescent="0.35">
      <c r="A177" s="3" t="s">
        <v>1780</v>
      </c>
      <c r="B177" s="3" t="s">
        <v>1474</v>
      </c>
      <c r="C177" s="3" t="s">
        <v>1431</v>
      </c>
      <c r="D177" s="3" t="s">
        <v>1454</v>
      </c>
      <c r="E177" s="3" t="s">
        <v>1548</v>
      </c>
      <c r="F177" t="s">
        <v>1655</v>
      </c>
      <c r="G177" t="s">
        <v>1513</v>
      </c>
      <c r="H177" s="7">
        <v>46138</v>
      </c>
      <c r="I177" s="7">
        <v>46150</v>
      </c>
      <c r="J177" t="s">
        <v>2555</v>
      </c>
      <c r="K177" t="str">
        <f t="shared" si="11"/>
        <v>Gold Power Bank (L)</v>
      </c>
      <c r="L177" t="str">
        <f t="shared" si="8"/>
        <v>David</v>
      </c>
      <c r="M177" t="str">
        <f>SUBSTITUTE(Table1[[#This Row],[Raw_Address]], ", ", " - ")</f>
        <v>Austin - TX</v>
      </c>
      <c r="N177" t="str">
        <f t="shared" si="9"/>
        <v>Q2-2026</v>
      </c>
      <c r="O177" t="str">
        <f t="shared" si="10"/>
        <v>INV/00174/APR</v>
      </c>
    </row>
    <row r="178" spans="1:15" x14ac:dyDescent="0.35">
      <c r="A178" s="3" t="s">
        <v>1781</v>
      </c>
      <c r="B178" s="3" t="s">
        <v>1419</v>
      </c>
      <c r="C178" s="3" t="s">
        <v>18</v>
      </c>
      <c r="D178" s="3" t="s">
        <v>1465</v>
      </c>
      <c r="E178" s="3" t="s">
        <v>1551</v>
      </c>
      <c r="F178" t="s">
        <v>1657</v>
      </c>
      <c r="G178" t="s">
        <v>1517</v>
      </c>
      <c r="H178" s="7">
        <v>46206</v>
      </c>
      <c r="I178" s="7">
        <v>46221</v>
      </c>
      <c r="J178" t="s">
        <v>2550</v>
      </c>
      <c r="K178" t="str">
        <f t="shared" si="11"/>
        <v>White Tablet (XS)</v>
      </c>
      <c r="L178" t="str">
        <f t="shared" si="8"/>
        <v>Anaya</v>
      </c>
      <c r="M178" t="str">
        <f>SUBSTITUTE(Table1[[#This Row],[Raw_Address]], ", ", " - ")</f>
        <v>San Diego - CA</v>
      </c>
      <c r="N178" t="str">
        <f t="shared" si="9"/>
        <v>Q3-2026</v>
      </c>
      <c r="O178" t="str">
        <f t="shared" si="10"/>
        <v>INV/00175/JUL</v>
      </c>
    </row>
    <row r="179" spans="1:15" x14ac:dyDescent="0.35">
      <c r="A179" s="3" t="s">
        <v>1782</v>
      </c>
      <c r="B179" s="3" t="s">
        <v>1430</v>
      </c>
      <c r="C179" s="3" t="s">
        <v>1431</v>
      </c>
      <c r="D179" s="3" t="s">
        <v>1420</v>
      </c>
      <c r="E179" s="3" t="s">
        <v>1554</v>
      </c>
      <c r="F179" t="s">
        <v>1659</v>
      </c>
      <c r="G179" t="s">
        <v>1521</v>
      </c>
      <c r="H179" s="7">
        <v>46303</v>
      </c>
      <c r="I179" s="7">
        <v>46321</v>
      </c>
      <c r="J179" t="s">
        <v>2551</v>
      </c>
      <c r="K179" t="str">
        <f t="shared" si="11"/>
        <v>Gold Mouse (M)</v>
      </c>
      <c r="L179" t="str">
        <f t="shared" si="8"/>
        <v>Emma</v>
      </c>
      <c r="M179" t="str">
        <f>SUBSTITUTE(Table1[[#This Row],[Raw_Address]], ", ", " - ")</f>
        <v>Kansas City - MO</v>
      </c>
      <c r="N179" t="str">
        <f t="shared" si="9"/>
        <v>Q4-2026</v>
      </c>
      <c r="O179" t="str">
        <f t="shared" si="10"/>
        <v>INV/00176/OCT</v>
      </c>
    </row>
    <row r="180" spans="1:15" x14ac:dyDescent="0.35">
      <c r="A180" s="3" t="s">
        <v>1783</v>
      </c>
      <c r="B180" s="3" t="s">
        <v>1442</v>
      </c>
      <c r="C180" s="3" t="s">
        <v>18</v>
      </c>
      <c r="D180" s="3" t="s">
        <v>1432</v>
      </c>
      <c r="E180" s="3" t="s">
        <v>1557</v>
      </c>
      <c r="F180" t="s">
        <v>1661</v>
      </c>
      <c r="G180" t="s">
        <v>1525</v>
      </c>
      <c r="H180" s="7">
        <v>46035</v>
      </c>
      <c r="I180" s="7">
        <v>46056</v>
      </c>
      <c r="J180" t="s">
        <v>2552</v>
      </c>
      <c r="K180" t="str">
        <f t="shared" si="11"/>
        <v>White Camera (XL)</v>
      </c>
      <c r="L180" t="str">
        <f t="shared" si="8"/>
        <v>Mason</v>
      </c>
      <c r="M180" t="str">
        <f>SUBSTITUTE(Table1[[#This Row],[Raw_Address]], ", ", " - ")</f>
        <v>Portland - OR</v>
      </c>
      <c r="N180" t="str">
        <f t="shared" si="9"/>
        <v>Q1-2026</v>
      </c>
      <c r="O180" t="str">
        <f t="shared" si="10"/>
        <v>INV/00177/JAN</v>
      </c>
    </row>
    <row r="181" spans="1:15" x14ac:dyDescent="0.35">
      <c r="A181" s="3" t="s">
        <v>1784</v>
      </c>
      <c r="B181" s="3" t="s">
        <v>1453</v>
      </c>
      <c r="C181" s="3" t="s">
        <v>1431</v>
      </c>
      <c r="D181" s="3" t="s">
        <v>1443</v>
      </c>
      <c r="E181" s="3" t="s">
        <v>1560</v>
      </c>
      <c r="F181" t="s">
        <v>1663</v>
      </c>
      <c r="G181" t="s">
        <v>1529</v>
      </c>
      <c r="H181" s="7">
        <v>46130</v>
      </c>
      <c r="I181" s="7">
        <v>46154</v>
      </c>
      <c r="J181" t="s">
        <v>2553</v>
      </c>
      <c r="K181" t="str">
        <f t="shared" si="11"/>
        <v>Gold Desk Lamp (S)</v>
      </c>
      <c r="L181" t="str">
        <f t="shared" si="8"/>
        <v>Amelia</v>
      </c>
      <c r="M181" t="str">
        <f>SUBSTITUTE(Table1[[#This Row],[Raw_Address]], ", ", " - ")</f>
        <v>Las Vegas - NV</v>
      </c>
      <c r="N181" t="str">
        <f t="shared" si="9"/>
        <v>Q2-2026</v>
      </c>
      <c r="O181" t="str">
        <f t="shared" si="10"/>
        <v>INV/00178/APR</v>
      </c>
    </row>
    <row r="182" spans="1:15" x14ac:dyDescent="0.35">
      <c r="A182" s="3" t="s">
        <v>1785</v>
      </c>
      <c r="B182" s="3" t="s">
        <v>1464</v>
      </c>
      <c r="C182" s="3" t="s">
        <v>18</v>
      </c>
      <c r="D182" s="3" t="s">
        <v>1454</v>
      </c>
      <c r="E182" s="3" t="s">
        <v>1563</v>
      </c>
      <c r="F182" t="s">
        <v>1665</v>
      </c>
      <c r="G182" t="s">
        <v>1533</v>
      </c>
      <c r="H182" s="7">
        <v>46226</v>
      </c>
      <c r="I182" s="7">
        <v>46253</v>
      </c>
      <c r="J182" t="s">
        <v>2554</v>
      </c>
      <c r="K182" t="str">
        <f t="shared" si="11"/>
        <v>White Notebook (L)</v>
      </c>
      <c r="L182" t="str">
        <f t="shared" si="8"/>
        <v>Charlotte</v>
      </c>
      <c r="M182" t="str">
        <f>SUBSTITUTE(Table1[[#This Row],[Raw_Address]], ", ", " - ")</f>
        <v>Chicago - IL</v>
      </c>
      <c r="N182" t="str">
        <f t="shared" si="9"/>
        <v>Q3-2026</v>
      </c>
      <c r="O182" t="str">
        <f t="shared" si="10"/>
        <v>INV/00179/JUL</v>
      </c>
    </row>
    <row r="183" spans="1:15" x14ac:dyDescent="0.35">
      <c r="A183" s="3" t="s">
        <v>1786</v>
      </c>
      <c r="B183" s="3" t="s">
        <v>1474</v>
      </c>
      <c r="C183" s="3" t="s">
        <v>1431</v>
      </c>
      <c r="D183" s="3" t="s">
        <v>1465</v>
      </c>
      <c r="E183" s="3" t="s">
        <v>1566</v>
      </c>
      <c r="F183" t="s">
        <v>1667</v>
      </c>
      <c r="G183" t="s">
        <v>1537</v>
      </c>
      <c r="H183" s="7">
        <v>46323</v>
      </c>
      <c r="I183" s="7">
        <v>46353</v>
      </c>
      <c r="J183" t="s">
        <v>2555</v>
      </c>
      <c r="K183" t="str">
        <f t="shared" si="11"/>
        <v>Gold Power Bank (XS)</v>
      </c>
      <c r="L183" t="str">
        <f t="shared" si="8"/>
        <v>Henry</v>
      </c>
      <c r="M183" t="str">
        <f>SUBSTITUTE(Table1[[#This Row],[Raw_Address]], ", ", " - ")</f>
        <v>Detroit - MI</v>
      </c>
      <c r="N183" t="str">
        <f t="shared" si="9"/>
        <v>Q4-2026</v>
      </c>
      <c r="O183" t="str">
        <f t="shared" si="10"/>
        <v>INV/00180/OCT</v>
      </c>
    </row>
    <row r="184" spans="1:15" x14ac:dyDescent="0.35">
      <c r="A184" s="3" t="s">
        <v>1787</v>
      </c>
      <c r="B184" s="3" t="s">
        <v>1419</v>
      </c>
      <c r="C184" s="3" t="s">
        <v>18</v>
      </c>
      <c r="D184" s="3" t="s">
        <v>1420</v>
      </c>
      <c r="E184" s="3" t="s">
        <v>1421</v>
      </c>
      <c r="F184" t="s">
        <v>1669</v>
      </c>
      <c r="G184" t="s">
        <v>1423</v>
      </c>
      <c r="H184" s="7">
        <v>46027</v>
      </c>
      <c r="I184" s="7">
        <v>46030</v>
      </c>
      <c r="J184" t="s">
        <v>2550</v>
      </c>
      <c r="K184" t="str">
        <f t="shared" si="11"/>
        <v>White Tablet (M)</v>
      </c>
      <c r="L184" t="str">
        <f t="shared" si="8"/>
        <v>Michael</v>
      </c>
      <c r="M184" t="str">
        <f>SUBSTITUTE(Table1[[#This Row],[Raw_Address]], ", ", " - ")</f>
        <v>Boston - MA</v>
      </c>
      <c r="N184" t="str">
        <f t="shared" si="9"/>
        <v>Q1-2026</v>
      </c>
      <c r="O184" t="str">
        <f t="shared" si="10"/>
        <v>INV/00181/JAN</v>
      </c>
    </row>
    <row r="185" spans="1:15" x14ac:dyDescent="0.35">
      <c r="A185" s="3" t="s">
        <v>1788</v>
      </c>
      <c r="B185" s="3" t="s">
        <v>1430</v>
      </c>
      <c r="C185" s="3" t="s">
        <v>1431</v>
      </c>
      <c r="D185" s="3" t="s">
        <v>1432</v>
      </c>
      <c r="E185" s="3" t="s">
        <v>1433</v>
      </c>
      <c r="F185" t="s">
        <v>1671</v>
      </c>
      <c r="G185" t="s">
        <v>1435</v>
      </c>
      <c r="H185" s="7">
        <v>46122</v>
      </c>
      <c r="I185" s="7">
        <v>46128</v>
      </c>
      <c r="J185" t="s">
        <v>2551</v>
      </c>
      <c r="K185" t="str">
        <f t="shared" si="11"/>
        <v>Gold Mouse (XL)</v>
      </c>
      <c r="L185" t="str">
        <f t="shared" si="8"/>
        <v>Mateo</v>
      </c>
      <c r="M185" t="str">
        <f>SUBSTITUTE(Table1[[#This Row],[Raw_Address]], ", ", " - ")</f>
        <v>Columbus - OH</v>
      </c>
      <c r="N185" t="str">
        <f t="shared" si="9"/>
        <v>Q2-2026</v>
      </c>
      <c r="O185" t="str">
        <f t="shared" si="10"/>
        <v>INV/00182/APR</v>
      </c>
    </row>
    <row r="186" spans="1:15" x14ac:dyDescent="0.35">
      <c r="A186" s="3" t="s">
        <v>1789</v>
      </c>
      <c r="B186" s="3" t="s">
        <v>1442</v>
      </c>
      <c r="C186" s="3" t="s">
        <v>18</v>
      </c>
      <c r="D186" s="3" t="s">
        <v>1443</v>
      </c>
      <c r="E186" s="3" t="s">
        <v>1444</v>
      </c>
      <c r="F186" t="s">
        <v>1673</v>
      </c>
      <c r="G186" t="s">
        <v>1446</v>
      </c>
      <c r="H186" s="7">
        <v>46218</v>
      </c>
      <c r="I186" s="7">
        <v>46227</v>
      </c>
      <c r="J186" t="s">
        <v>2552</v>
      </c>
      <c r="K186" t="str">
        <f t="shared" si="11"/>
        <v>White Camera (S)</v>
      </c>
      <c r="L186" t="str">
        <f t="shared" si="8"/>
        <v>Sana</v>
      </c>
      <c r="M186" t="str">
        <f>SUBSTITUTE(Table1[[#This Row],[Raw_Address]], ", ", " - ")</f>
        <v>Denver - CO</v>
      </c>
      <c r="N186" t="str">
        <f t="shared" si="9"/>
        <v>Q3-2026</v>
      </c>
      <c r="O186" t="str">
        <f t="shared" si="10"/>
        <v>INV/00183/JUL</v>
      </c>
    </row>
    <row r="187" spans="1:15" x14ac:dyDescent="0.35">
      <c r="A187" s="3" t="s">
        <v>1790</v>
      </c>
      <c r="B187" s="3" t="s">
        <v>1453</v>
      </c>
      <c r="C187" s="3" t="s">
        <v>1431</v>
      </c>
      <c r="D187" s="3" t="s">
        <v>1454</v>
      </c>
      <c r="E187" s="3" t="s">
        <v>1455</v>
      </c>
      <c r="F187" t="s">
        <v>1675</v>
      </c>
      <c r="G187" t="s">
        <v>1457</v>
      </c>
      <c r="H187" s="7">
        <v>46315</v>
      </c>
      <c r="I187" s="7">
        <v>46327</v>
      </c>
      <c r="J187" t="s">
        <v>2553</v>
      </c>
      <c r="K187" t="str">
        <f t="shared" si="11"/>
        <v>Gold Desk Lamp (L)</v>
      </c>
      <c r="L187" t="str">
        <f t="shared" si="8"/>
        <v>Omar</v>
      </c>
      <c r="M187" t="str">
        <f>SUBSTITUTE(Table1[[#This Row],[Raw_Address]], ", ", " - ")</f>
        <v>Dallas - TX</v>
      </c>
      <c r="N187" t="str">
        <f t="shared" si="9"/>
        <v>Q4-2026</v>
      </c>
      <c r="O187" t="str">
        <f t="shared" si="10"/>
        <v>INV/00184/OCT</v>
      </c>
    </row>
    <row r="188" spans="1:15" x14ac:dyDescent="0.35">
      <c r="A188" s="3" t="s">
        <v>1791</v>
      </c>
      <c r="B188" s="3" t="s">
        <v>1464</v>
      </c>
      <c r="C188" s="3" t="s">
        <v>18</v>
      </c>
      <c r="D188" s="3" t="s">
        <v>1465</v>
      </c>
      <c r="E188" s="3" t="s">
        <v>1466</v>
      </c>
      <c r="F188" t="s">
        <v>1677</v>
      </c>
      <c r="G188" t="s">
        <v>1468</v>
      </c>
      <c r="H188" s="7">
        <v>46047</v>
      </c>
      <c r="I188" s="7">
        <v>46062</v>
      </c>
      <c r="J188" t="s">
        <v>2554</v>
      </c>
      <c r="K188" t="str">
        <f t="shared" si="11"/>
        <v>White Notebook (XS)</v>
      </c>
      <c r="L188" t="str">
        <f t="shared" si="8"/>
        <v>Nina</v>
      </c>
      <c r="M188" t="str">
        <f>SUBSTITUTE(Table1[[#This Row],[Raw_Address]], ", ", " - ")</f>
        <v>Seattle - WA</v>
      </c>
      <c r="N188" t="str">
        <f t="shared" si="9"/>
        <v>Q1-2026</v>
      </c>
      <c r="O188" t="str">
        <f t="shared" si="10"/>
        <v>INV/00185/JAN</v>
      </c>
    </row>
    <row r="189" spans="1:15" x14ac:dyDescent="0.35">
      <c r="A189" s="3" t="s">
        <v>1792</v>
      </c>
      <c r="B189" s="3" t="s">
        <v>1474</v>
      </c>
      <c r="C189" s="3" t="s">
        <v>1431</v>
      </c>
      <c r="D189" s="3" t="s">
        <v>1420</v>
      </c>
      <c r="E189" s="3" t="s">
        <v>1475</v>
      </c>
      <c r="F189" t="s">
        <v>1679</v>
      </c>
      <c r="G189" t="s">
        <v>1477</v>
      </c>
      <c r="H189" s="7">
        <v>46114</v>
      </c>
      <c r="I189" s="7">
        <v>46132</v>
      </c>
      <c r="J189" t="s">
        <v>2555</v>
      </c>
      <c r="K189" t="str">
        <f t="shared" si="11"/>
        <v>Gold Power Bank (M)</v>
      </c>
      <c r="L189" t="str">
        <f t="shared" si="8"/>
        <v>Jack</v>
      </c>
      <c r="M189" t="str">
        <f>SUBSTITUTE(Table1[[#This Row],[Raw_Address]], ", ", " - ")</f>
        <v>Nashville - TN</v>
      </c>
      <c r="N189" t="str">
        <f t="shared" si="9"/>
        <v>Q2-2026</v>
      </c>
      <c r="O189" t="str">
        <f t="shared" si="10"/>
        <v>INV/00186/APR</v>
      </c>
    </row>
    <row r="190" spans="1:15" x14ac:dyDescent="0.35">
      <c r="A190" s="3" t="s">
        <v>1793</v>
      </c>
      <c r="B190" s="3" t="s">
        <v>1419</v>
      </c>
      <c r="C190" s="3" t="s">
        <v>18</v>
      </c>
      <c r="D190" s="3" t="s">
        <v>1432</v>
      </c>
      <c r="E190" s="3" t="s">
        <v>1483</v>
      </c>
      <c r="F190" t="s">
        <v>1681</v>
      </c>
      <c r="G190" t="s">
        <v>1485</v>
      </c>
      <c r="H190" s="7">
        <v>46210</v>
      </c>
      <c r="I190" s="7">
        <v>46231</v>
      </c>
      <c r="J190" t="s">
        <v>2550</v>
      </c>
      <c r="K190" t="str">
        <f t="shared" si="11"/>
        <v>White Tablet (XL)</v>
      </c>
      <c r="L190" t="str">
        <f t="shared" si="8"/>
        <v>Victor</v>
      </c>
      <c r="M190" t="str">
        <f>SUBSTITUTE(Table1[[#This Row],[Raw_Address]], ", ", " - ")</f>
        <v>Minneapolis - MN</v>
      </c>
      <c r="N190" t="str">
        <f t="shared" si="9"/>
        <v>Q3-2026</v>
      </c>
      <c r="O190" t="str">
        <f t="shared" si="10"/>
        <v>INV/00187/JUL</v>
      </c>
    </row>
    <row r="191" spans="1:15" x14ac:dyDescent="0.35">
      <c r="A191" s="3" t="s">
        <v>1794</v>
      </c>
      <c r="B191" s="3" t="s">
        <v>1430</v>
      </c>
      <c r="C191" s="3" t="s">
        <v>1431</v>
      </c>
      <c r="D191" s="3" t="s">
        <v>1443</v>
      </c>
      <c r="E191" s="3" t="s">
        <v>1487</v>
      </c>
      <c r="F191" t="s">
        <v>39</v>
      </c>
      <c r="G191" t="s">
        <v>1489</v>
      </c>
      <c r="H191" s="7">
        <v>46307</v>
      </c>
      <c r="I191" s="7">
        <v>46331</v>
      </c>
      <c r="J191" t="s">
        <v>2551</v>
      </c>
      <c r="K191" t="str">
        <f t="shared" si="11"/>
        <v>Gold Mouse (S)</v>
      </c>
      <c r="L191" t="str">
        <f t="shared" si="8"/>
        <v>Liam</v>
      </c>
      <c r="M191" t="str">
        <f>SUBSTITUTE(Table1[[#This Row],[Raw_Address]], ", ", " - ")</f>
        <v>Atlanta - GA</v>
      </c>
      <c r="N191" t="str">
        <f t="shared" si="9"/>
        <v>Q4-2026</v>
      </c>
      <c r="O191" t="str">
        <f t="shared" si="10"/>
        <v>INV/00188/OCT</v>
      </c>
    </row>
    <row r="192" spans="1:15" x14ac:dyDescent="0.35">
      <c r="A192" s="3" t="s">
        <v>1795</v>
      </c>
      <c r="B192" s="3" t="s">
        <v>1442</v>
      </c>
      <c r="C192" s="3" t="s">
        <v>18</v>
      </c>
      <c r="D192" s="3" t="s">
        <v>1454</v>
      </c>
      <c r="E192" s="3" t="s">
        <v>1491</v>
      </c>
      <c r="F192" t="s">
        <v>1684</v>
      </c>
      <c r="G192" t="s">
        <v>1493</v>
      </c>
      <c r="H192" s="7">
        <v>46039</v>
      </c>
      <c r="I192" s="7">
        <v>46066</v>
      </c>
      <c r="J192" t="s">
        <v>2552</v>
      </c>
      <c r="K192" t="str">
        <f t="shared" si="11"/>
        <v>White Camera (L)</v>
      </c>
      <c r="L192" t="str">
        <f t="shared" si="8"/>
        <v>Elijah</v>
      </c>
      <c r="M192" t="str">
        <f>SUBSTITUTE(Table1[[#This Row],[Raw_Address]], ", ", " - ")</f>
        <v>Tampa - FL</v>
      </c>
      <c r="N192" t="str">
        <f t="shared" si="9"/>
        <v>Q1-2026</v>
      </c>
      <c r="O192" t="str">
        <f t="shared" si="10"/>
        <v>INV/00189/JAN</v>
      </c>
    </row>
    <row r="193" spans="1:15" x14ac:dyDescent="0.35">
      <c r="A193" s="3" t="s">
        <v>1796</v>
      </c>
      <c r="B193" s="3" t="s">
        <v>1453</v>
      </c>
      <c r="C193" s="3" t="s">
        <v>1431</v>
      </c>
      <c r="D193" s="3" t="s">
        <v>1465</v>
      </c>
      <c r="E193" s="3" t="s">
        <v>1495</v>
      </c>
      <c r="F193" t="s">
        <v>1686</v>
      </c>
      <c r="G193" t="s">
        <v>1497</v>
      </c>
      <c r="H193" s="7">
        <v>46134</v>
      </c>
      <c r="I193" s="7">
        <v>46164</v>
      </c>
      <c r="J193" t="s">
        <v>2553</v>
      </c>
      <c r="K193" t="str">
        <f t="shared" si="11"/>
        <v>Gold Desk Lamp (XS)</v>
      </c>
      <c r="L193" t="str">
        <f t="shared" si="8"/>
        <v>Lucas</v>
      </c>
      <c r="M193" t="str">
        <f>SUBSTITUTE(Table1[[#This Row],[Raw_Address]], ", ", " - ")</f>
        <v>Phoenix - AZ</v>
      </c>
      <c r="N193" t="str">
        <f t="shared" si="9"/>
        <v>Q2-2026</v>
      </c>
      <c r="O193" t="str">
        <f t="shared" si="10"/>
        <v>INV/00190/APR</v>
      </c>
    </row>
    <row r="194" spans="1:15" x14ac:dyDescent="0.35">
      <c r="A194" s="3" t="s">
        <v>1797</v>
      </c>
      <c r="B194" s="3" t="s">
        <v>1464</v>
      </c>
      <c r="C194" s="3" t="s">
        <v>18</v>
      </c>
      <c r="D194" s="3" t="s">
        <v>1420</v>
      </c>
      <c r="E194" s="3" t="s">
        <v>1499</v>
      </c>
      <c r="F194" t="s">
        <v>1688</v>
      </c>
      <c r="G194" t="s">
        <v>1501</v>
      </c>
      <c r="H194" s="7">
        <v>46230</v>
      </c>
      <c r="I194" s="7">
        <v>46233</v>
      </c>
      <c r="J194" t="s">
        <v>2554</v>
      </c>
      <c r="K194" t="str">
        <f t="shared" si="11"/>
        <v>White Notebook (M)</v>
      </c>
      <c r="L194" t="str">
        <f t="shared" si="8"/>
        <v>Ethan</v>
      </c>
      <c r="M194" t="str">
        <f>SUBSTITUTE(Table1[[#This Row],[Raw_Address]], ", ", " - ")</f>
        <v>Raleigh - NC</v>
      </c>
      <c r="N194" t="str">
        <f t="shared" si="9"/>
        <v>Q3-2026</v>
      </c>
      <c r="O194" t="str">
        <f t="shared" si="10"/>
        <v>INV/00191/JUL</v>
      </c>
    </row>
    <row r="195" spans="1:15" x14ac:dyDescent="0.35">
      <c r="A195" s="3" t="s">
        <v>1798</v>
      </c>
      <c r="B195" s="3" t="s">
        <v>1474</v>
      </c>
      <c r="C195" s="3" t="s">
        <v>1431</v>
      </c>
      <c r="D195" s="3" t="s">
        <v>1432</v>
      </c>
      <c r="E195" s="3" t="s">
        <v>1503</v>
      </c>
      <c r="F195" t="s">
        <v>1690</v>
      </c>
      <c r="G195" t="s">
        <v>1505</v>
      </c>
      <c r="H195" s="7">
        <v>46299</v>
      </c>
      <c r="I195" s="7">
        <v>46305</v>
      </c>
      <c r="J195" t="s">
        <v>2555</v>
      </c>
      <c r="K195" t="str">
        <f t="shared" si="11"/>
        <v>Gold Power Bank (XL)</v>
      </c>
      <c r="L195" t="str">
        <f t="shared" si="8"/>
        <v>Evelyn</v>
      </c>
      <c r="M195" t="str">
        <f>SUBSTITUTE(Table1[[#This Row],[Raw_Address]], ", ", " - ")</f>
        <v>Miami - FL</v>
      </c>
      <c r="N195" t="str">
        <f t="shared" si="9"/>
        <v>Q4-2026</v>
      </c>
      <c r="O195" t="str">
        <f t="shared" si="10"/>
        <v>INV/00192/OCT</v>
      </c>
    </row>
    <row r="196" spans="1:15" x14ac:dyDescent="0.35">
      <c r="A196" s="3" t="s">
        <v>1799</v>
      </c>
      <c r="B196" s="3" t="s">
        <v>1419</v>
      </c>
      <c r="C196" s="3" t="s">
        <v>18</v>
      </c>
      <c r="D196" s="3" t="s">
        <v>1443</v>
      </c>
      <c r="E196" s="3" t="s">
        <v>1507</v>
      </c>
      <c r="F196" t="s">
        <v>1692</v>
      </c>
      <c r="G196" t="s">
        <v>1509</v>
      </c>
      <c r="H196" s="7">
        <v>46031</v>
      </c>
      <c r="I196" s="7">
        <v>46040</v>
      </c>
      <c r="J196" t="s">
        <v>2550</v>
      </c>
      <c r="K196" t="str">
        <f t="shared" si="11"/>
        <v>White Tablet (S)</v>
      </c>
      <c r="L196" t="str">
        <f t="shared" si="8"/>
        <v>Scarlett</v>
      </c>
      <c r="M196" t="str">
        <f>SUBSTITUTE(Table1[[#This Row],[Raw_Address]], ", ", " - ")</f>
        <v>Charlotte - NC</v>
      </c>
      <c r="N196" t="str">
        <f t="shared" si="9"/>
        <v>Q1-2026</v>
      </c>
      <c r="O196" t="str">
        <f t="shared" si="10"/>
        <v>INV/00193/JAN</v>
      </c>
    </row>
    <row r="197" spans="1:15" x14ac:dyDescent="0.35">
      <c r="A197" s="3" t="s">
        <v>1800</v>
      </c>
      <c r="B197" s="3" t="s">
        <v>1430</v>
      </c>
      <c r="C197" s="3" t="s">
        <v>1431</v>
      </c>
      <c r="D197" s="3" t="s">
        <v>1454</v>
      </c>
      <c r="E197" s="3" t="s">
        <v>1511</v>
      </c>
      <c r="F197" t="s">
        <v>1694</v>
      </c>
      <c r="G197" t="s">
        <v>1513</v>
      </c>
      <c r="H197" s="7">
        <v>46126</v>
      </c>
      <c r="I197" s="7">
        <v>46138</v>
      </c>
      <c r="J197" t="s">
        <v>2551</v>
      </c>
      <c r="K197" t="str">
        <f t="shared" si="11"/>
        <v>Gold Mouse (L)</v>
      </c>
      <c r="L197" t="str">
        <f t="shared" si="8"/>
        <v>Sofia</v>
      </c>
      <c r="M197" t="str">
        <f>SUBSTITUTE(Table1[[#This Row],[Raw_Address]], ", ", " - ")</f>
        <v>Austin - TX</v>
      </c>
      <c r="N197" t="str">
        <f t="shared" si="9"/>
        <v>Q2-2026</v>
      </c>
      <c r="O197" t="str">
        <f t="shared" si="10"/>
        <v>INV/00194/APR</v>
      </c>
    </row>
    <row r="198" spans="1:15" x14ac:dyDescent="0.35">
      <c r="A198" s="3" t="s">
        <v>1801</v>
      </c>
      <c r="B198" s="3" t="s">
        <v>1442</v>
      </c>
      <c r="C198" s="3" t="s">
        <v>18</v>
      </c>
      <c r="D198" s="3" t="s">
        <v>1465</v>
      </c>
      <c r="E198" s="3" t="s">
        <v>1515</v>
      </c>
      <c r="F198" t="s">
        <v>1696</v>
      </c>
      <c r="G198" t="s">
        <v>1517</v>
      </c>
      <c r="H198" s="7">
        <v>46222</v>
      </c>
      <c r="I198" s="7">
        <v>46237</v>
      </c>
      <c r="J198" t="s">
        <v>2552</v>
      </c>
      <c r="K198" t="str">
        <f t="shared" si="11"/>
        <v>White Camera (XS)</v>
      </c>
      <c r="L198" t="str">
        <f t="shared" si="8"/>
        <v>Priya</v>
      </c>
      <c r="M198" t="str">
        <f>SUBSTITUTE(Table1[[#This Row],[Raw_Address]], ", ", " - ")</f>
        <v>San Diego - CA</v>
      </c>
      <c r="N198" t="str">
        <f t="shared" si="9"/>
        <v>Q3-2026</v>
      </c>
      <c r="O198" t="str">
        <f t="shared" si="10"/>
        <v>INV/00195/JUL</v>
      </c>
    </row>
    <row r="199" spans="1:15" x14ac:dyDescent="0.35">
      <c r="A199" s="3" t="s">
        <v>1802</v>
      </c>
      <c r="B199" s="3" t="s">
        <v>1453</v>
      </c>
      <c r="C199" s="3" t="s">
        <v>1431</v>
      </c>
      <c r="D199" s="3" t="s">
        <v>1420</v>
      </c>
      <c r="E199" s="3" t="s">
        <v>1519</v>
      </c>
      <c r="F199" t="s">
        <v>1698</v>
      </c>
      <c r="G199" t="s">
        <v>1521</v>
      </c>
      <c r="H199" s="7">
        <v>46319</v>
      </c>
      <c r="I199" s="7">
        <v>46337</v>
      </c>
      <c r="J199" t="s">
        <v>2553</v>
      </c>
      <c r="K199" t="str">
        <f t="shared" si="11"/>
        <v>Gold Desk Lamp (M)</v>
      </c>
      <c r="L199" t="str">
        <f t="shared" si="8"/>
        <v>Kabir</v>
      </c>
      <c r="M199" t="str">
        <f>SUBSTITUTE(Table1[[#This Row],[Raw_Address]], ", ", " - ")</f>
        <v>Kansas City - MO</v>
      </c>
      <c r="N199" t="str">
        <f t="shared" si="9"/>
        <v>Q4-2026</v>
      </c>
      <c r="O199" t="str">
        <f t="shared" si="10"/>
        <v>INV/00196/OCT</v>
      </c>
    </row>
    <row r="200" spans="1:15" x14ac:dyDescent="0.35">
      <c r="A200" s="3" t="s">
        <v>1803</v>
      </c>
      <c r="B200" s="3" t="s">
        <v>1464</v>
      </c>
      <c r="C200" s="3" t="s">
        <v>18</v>
      </c>
      <c r="D200" s="3" t="s">
        <v>1432</v>
      </c>
      <c r="E200" s="3" t="s">
        <v>1523</v>
      </c>
      <c r="F200" t="s">
        <v>1700</v>
      </c>
      <c r="G200" t="s">
        <v>1525</v>
      </c>
      <c r="H200" s="7">
        <v>46023</v>
      </c>
      <c r="I200" s="7">
        <v>46044</v>
      </c>
      <c r="J200" t="s">
        <v>2554</v>
      </c>
      <c r="K200" t="str">
        <f t="shared" si="11"/>
        <v>White Notebook (XL)</v>
      </c>
      <c r="L200" t="str">
        <f t="shared" si="8"/>
        <v>Fatima</v>
      </c>
      <c r="M200" t="str">
        <f>SUBSTITUTE(Table1[[#This Row],[Raw_Address]], ", ", " - ")</f>
        <v>Portland - OR</v>
      </c>
      <c r="N200" t="str">
        <f t="shared" si="9"/>
        <v>Q1-2026</v>
      </c>
      <c r="O200" t="str">
        <f t="shared" si="10"/>
        <v>INV/00197/JAN</v>
      </c>
    </row>
    <row r="201" spans="1:15" x14ac:dyDescent="0.35">
      <c r="A201" s="3" t="s">
        <v>1804</v>
      </c>
      <c r="B201" s="3" t="s">
        <v>1474</v>
      </c>
      <c r="C201" s="3" t="s">
        <v>1431</v>
      </c>
      <c r="D201" s="3" t="s">
        <v>1443</v>
      </c>
      <c r="E201" s="3" t="s">
        <v>1527</v>
      </c>
      <c r="F201" t="s">
        <v>1702</v>
      </c>
      <c r="G201" t="s">
        <v>1529</v>
      </c>
      <c r="H201" s="7">
        <v>46118</v>
      </c>
      <c r="I201" s="7">
        <v>46142</v>
      </c>
      <c r="J201" t="s">
        <v>2555</v>
      </c>
      <c r="K201" t="str">
        <f t="shared" si="11"/>
        <v>Gold Power Bank (S)</v>
      </c>
      <c r="L201" t="str">
        <f t="shared" si="8"/>
        <v>Grace</v>
      </c>
      <c r="M201" t="str">
        <f>SUBSTITUTE(Table1[[#This Row],[Raw_Address]], ", ", " - ")</f>
        <v>Las Vegas - NV</v>
      </c>
      <c r="N201" t="str">
        <f t="shared" si="9"/>
        <v>Q2-2026</v>
      </c>
      <c r="O201" t="str">
        <f t="shared" si="10"/>
        <v>INV/00198/APR</v>
      </c>
    </row>
    <row r="202" spans="1:15" x14ac:dyDescent="0.35">
      <c r="A202" s="3" t="s">
        <v>1805</v>
      </c>
      <c r="B202" s="3" t="s">
        <v>1419</v>
      </c>
      <c r="C202" s="3" t="s">
        <v>18</v>
      </c>
      <c r="D202" s="3" t="s">
        <v>1454</v>
      </c>
      <c r="E202" s="3" t="s">
        <v>1531</v>
      </c>
      <c r="F202" t="s">
        <v>1704</v>
      </c>
      <c r="G202" t="s">
        <v>1533</v>
      </c>
      <c r="H202" s="7">
        <v>46214</v>
      </c>
      <c r="I202" s="7">
        <v>46241</v>
      </c>
      <c r="J202" t="s">
        <v>2550</v>
      </c>
      <c r="K202" t="str">
        <f t="shared" si="11"/>
        <v>White Tablet (L)</v>
      </c>
      <c r="L202" t="str">
        <f t="shared" si="8"/>
        <v>David</v>
      </c>
      <c r="M202" t="str">
        <f>SUBSTITUTE(Table1[[#This Row],[Raw_Address]], ", ", " - ")</f>
        <v>Chicago - IL</v>
      </c>
      <c r="N202" t="str">
        <f t="shared" si="9"/>
        <v>Q3-2026</v>
      </c>
      <c r="O202" t="str">
        <f t="shared" si="10"/>
        <v>INV/00199/JUL</v>
      </c>
    </row>
    <row r="203" spans="1:15" x14ac:dyDescent="0.35">
      <c r="A203" s="3" t="s">
        <v>1806</v>
      </c>
      <c r="B203" s="3" t="s">
        <v>1430</v>
      </c>
      <c r="C203" s="3" t="s">
        <v>1431</v>
      </c>
      <c r="D203" s="3" t="s">
        <v>1465</v>
      </c>
      <c r="E203" s="3" t="s">
        <v>1535</v>
      </c>
      <c r="F203" t="s">
        <v>1706</v>
      </c>
      <c r="G203" t="s">
        <v>1537</v>
      </c>
      <c r="H203" s="7">
        <v>46311</v>
      </c>
      <c r="I203" s="7">
        <v>46341</v>
      </c>
      <c r="J203" t="s">
        <v>2551</v>
      </c>
      <c r="K203" t="str">
        <f t="shared" si="11"/>
        <v>Gold Mouse (XS)</v>
      </c>
      <c r="L203" t="str">
        <f t="shared" ref="L203:L266" si="12">REPLACE(F203, 1, FIND(", ", F203) + 1, "")</f>
        <v>Anaya</v>
      </c>
      <c r="M203" t="str">
        <f>SUBSTITUTE(Table1[[#This Row],[Raw_Address]], ", ", " - ")</f>
        <v>Detroit - MI</v>
      </c>
      <c r="N203" t="str">
        <f t="shared" ref="N203:N266" si="13">"Q" &amp; ROUNDUP(MONTH(H203)/3, 0) &amp; "-" &amp; YEAR(H203)</f>
        <v>Q4-2026</v>
      </c>
      <c r="O203" t="str">
        <f t="shared" ref="O203:O266" si="14">"INV/" &amp; RIGHT(A203, 5) &amp; "/" &amp; UPPER(TEXT(H203, "mmm"))</f>
        <v>INV/00200/OCT</v>
      </c>
    </row>
    <row r="204" spans="1:15" x14ac:dyDescent="0.35">
      <c r="A204" s="3" t="s">
        <v>1807</v>
      </c>
      <c r="B204" s="3" t="s">
        <v>1442</v>
      </c>
      <c r="C204" s="3" t="s">
        <v>18</v>
      </c>
      <c r="D204" s="3" t="s">
        <v>1420</v>
      </c>
      <c r="E204" s="3" t="s">
        <v>1539</v>
      </c>
      <c r="F204" t="s">
        <v>1422</v>
      </c>
      <c r="G204" t="s">
        <v>1423</v>
      </c>
      <c r="H204" s="7">
        <v>46043</v>
      </c>
      <c r="I204" s="7">
        <v>46046</v>
      </c>
      <c r="J204" t="s">
        <v>2552</v>
      </c>
      <c r="K204" t="str">
        <f t="shared" ref="K204:K267" si="15">C204 &amp; " " &amp; B204 &amp; " (" &amp; D204 &amp; ")"</f>
        <v>White Camera (M)</v>
      </c>
      <c r="L204" t="str">
        <f t="shared" si="12"/>
        <v>Emma</v>
      </c>
      <c r="M204" t="str">
        <f>SUBSTITUTE(Table1[[#This Row],[Raw_Address]], ", ", " - ")</f>
        <v>Boston - MA</v>
      </c>
      <c r="N204" t="str">
        <f t="shared" si="13"/>
        <v>Q1-2026</v>
      </c>
      <c r="O204" t="str">
        <f t="shared" si="14"/>
        <v>INV/00201/JAN</v>
      </c>
    </row>
    <row r="205" spans="1:15" x14ac:dyDescent="0.35">
      <c r="A205" s="3" t="s">
        <v>1808</v>
      </c>
      <c r="B205" s="3" t="s">
        <v>1453</v>
      </c>
      <c r="C205" s="3" t="s">
        <v>1431</v>
      </c>
      <c r="D205" s="3" t="s">
        <v>1432</v>
      </c>
      <c r="E205" s="3" t="s">
        <v>1542</v>
      </c>
      <c r="F205" t="s">
        <v>1434</v>
      </c>
      <c r="G205" t="s">
        <v>1435</v>
      </c>
      <c r="H205" s="7">
        <v>46138</v>
      </c>
      <c r="I205" s="7">
        <v>46144</v>
      </c>
      <c r="J205" t="s">
        <v>2553</v>
      </c>
      <c r="K205" t="str">
        <f t="shared" si="15"/>
        <v>Gold Desk Lamp (XL)</v>
      </c>
      <c r="L205" t="str">
        <f t="shared" si="12"/>
        <v>Mason</v>
      </c>
      <c r="M205" t="str">
        <f>SUBSTITUTE(Table1[[#This Row],[Raw_Address]], ", ", " - ")</f>
        <v>Columbus - OH</v>
      </c>
      <c r="N205" t="str">
        <f t="shared" si="13"/>
        <v>Q2-2026</v>
      </c>
      <c r="O205" t="str">
        <f t="shared" si="14"/>
        <v>INV/00202/APR</v>
      </c>
    </row>
    <row r="206" spans="1:15" x14ac:dyDescent="0.35">
      <c r="A206" s="3" t="s">
        <v>1809</v>
      </c>
      <c r="B206" s="3" t="s">
        <v>1464</v>
      </c>
      <c r="C206" s="3" t="s">
        <v>18</v>
      </c>
      <c r="D206" s="3" t="s">
        <v>1443</v>
      </c>
      <c r="E206" s="3" t="s">
        <v>1545</v>
      </c>
      <c r="F206" t="s">
        <v>1445</v>
      </c>
      <c r="G206" t="s">
        <v>1446</v>
      </c>
      <c r="H206" s="7">
        <v>46206</v>
      </c>
      <c r="I206" s="7">
        <v>46215</v>
      </c>
      <c r="J206" t="s">
        <v>2554</v>
      </c>
      <c r="K206" t="str">
        <f t="shared" si="15"/>
        <v>White Notebook (S)</v>
      </c>
      <c r="L206" t="str">
        <f t="shared" si="12"/>
        <v>Amelia</v>
      </c>
      <c r="M206" t="str">
        <f>SUBSTITUTE(Table1[[#This Row],[Raw_Address]], ", ", " - ")</f>
        <v>Denver - CO</v>
      </c>
      <c r="N206" t="str">
        <f t="shared" si="13"/>
        <v>Q3-2026</v>
      </c>
      <c r="O206" t="str">
        <f t="shared" si="14"/>
        <v>INV/00203/JUL</v>
      </c>
    </row>
    <row r="207" spans="1:15" x14ac:dyDescent="0.35">
      <c r="A207" s="3" t="s">
        <v>1810</v>
      </c>
      <c r="B207" s="3" t="s">
        <v>1474</v>
      </c>
      <c r="C207" s="3" t="s">
        <v>1431</v>
      </c>
      <c r="D207" s="3" t="s">
        <v>1454</v>
      </c>
      <c r="E207" s="3" t="s">
        <v>1548</v>
      </c>
      <c r="F207" t="s">
        <v>1456</v>
      </c>
      <c r="G207" t="s">
        <v>1457</v>
      </c>
      <c r="H207" s="7">
        <v>46303</v>
      </c>
      <c r="I207" s="7">
        <v>46315</v>
      </c>
      <c r="J207" t="s">
        <v>2555</v>
      </c>
      <c r="K207" t="str">
        <f t="shared" si="15"/>
        <v>Gold Power Bank (L)</v>
      </c>
      <c r="L207" t="str">
        <f t="shared" si="12"/>
        <v>Charlotte</v>
      </c>
      <c r="M207" t="str">
        <f>SUBSTITUTE(Table1[[#This Row],[Raw_Address]], ", ", " - ")</f>
        <v>Dallas - TX</v>
      </c>
      <c r="N207" t="str">
        <f t="shared" si="13"/>
        <v>Q4-2026</v>
      </c>
      <c r="O207" t="str">
        <f t="shared" si="14"/>
        <v>INV/00204/OCT</v>
      </c>
    </row>
    <row r="208" spans="1:15" x14ac:dyDescent="0.35">
      <c r="A208" s="3" t="s">
        <v>1811</v>
      </c>
      <c r="B208" s="3" t="s">
        <v>1419</v>
      </c>
      <c r="C208" s="3" t="s">
        <v>18</v>
      </c>
      <c r="D208" s="3" t="s">
        <v>1465</v>
      </c>
      <c r="E208" s="3" t="s">
        <v>1551</v>
      </c>
      <c r="F208" t="s">
        <v>1467</v>
      </c>
      <c r="G208" t="s">
        <v>1468</v>
      </c>
      <c r="H208" s="7">
        <v>46035</v>
      </c>
      <c r="I208" s="7">
        <v>46050</v>
      </c>
      <c r="J208" t="s">
        <v>2550</v>
      </c>
      <c r="K208" t="str">
        <f t="shared" si="15"/>
        <v>White Tablet (XS)</v>
      </c>
      <c r="L208" t="str">
        <f t="shared" si="12"/>
        <v>Henry</v>
      </c>
      <c r="M208" t="str">
        <f>SUBSTITUTE(Table1[[#This Row],[Raw_Address]], ", ", " - ")</f>
        <v>Seattle - WA</v>
      </c>
      <c r="N208" t="str">
        <f t="shared" si="13"/>
        <v>Q1-2026</v>
      </c>
      <c r="O208" t="str">
        <f t="shared" si="14"/>
        <v>INV/00205/JAN</v>
      </c>
    </row>
    <row r="209" spans="1:15" x14ac:dyDescent="0.35">
      <c r="A209" s="3" t="s">
        <v>1812</v>
      </c>
      <c r="B209" s="3" t="s">
        <v>1430</v>
      </c>
      <c r="C209" s="3" t="s">
        <v>1431</v>
      </c>
      <c r="D209" s="3" t="s">
        <v>1420</v>
      </c>
      <c r="E209" s="3" t="s">
        <v>1554</v>
      </c>
      <c r="F209" t="s">
        <v>1476</v>
      </c>
      <c r="G209" t="s">
        <v>1477</v>
      </c>
      <c r="H209" s="7">
        <v>46130</v>
      </c>
      <c r="I209" s="7">
        <v>46148</v>
      </c>
      <c r="J209" t="s">
        <v>2551</v>
      </c>
      <c r="K209" t="str">
        <f t="shared" si="15"/>
        <v>Gold Mouse (M)</v>
      </c>
      <c r="L209" t="str">
        <f t="shared" si="12"/>
        <v>Michael</v>
      </c>
      <c r="M209" t="str">
        <f>SUBSTITUTE(Table1[[#This Row],[Raw_Address]], ", ", " - ")</f>
        <v>Nashville - TN</v>
      </c>
      <c r="N209" t="str">
        <f t="shared" si="13"/>
        <v>Q2-2026</v>
      </c>
      <c r="O209" t="str">
        <f t="shared" si="14"/>
        <v>INV/00206/APR</v>
      </c>
    </row>
    <row r="210" spans="1:15" x14ac:dyDescent="0.35">
      <c r="A210" s="3" t="s">
        <v>1813</v>
      </c>
      <c r="B210" s="3" t="s">
        <v>1442</v>
      </c>
      <c r="C210" s="3" t="s">
        <v>18</v>
      </c>
      <c r="D210" s="3" t="s">
        <v>1432</v>
      </c>
      <c r="E210" s="3" t="s">
        <v>1557</v>
      </c>
      <c r="F210" t="s">
        <v>1484</v>
      </c>
      <c r="G210" t="s">
        <v>1485</v>
      </c>
      <c r="H210" s="7">
        <v>46226</v>
      </c>
      <c r="I210" s="7">
        <v>46247</v>
      </c>
      <c r="J210" t="s">
        <v>2552</v>
      </c>
      <c r="K210" t="str">
        <f t="shared" si="15"/>
        <v>White Camera (XL)</v>
      </c>
      <c r="L210" t="str">
        <f t="shared" si="12"/>
        <v>Mateo</v>
      </c>
      <c r="M210" t="str">
        <f>SUBSTITUTE(Table1[[#This Row],[Raw_Address]], ", ", " - ")</f>
        <v>Minneapolis - MN</v>
      </c>
      <c r="N210" t="str">
        <f t="shared" si="13"/>
        <v>Q3-2026</v>
      </c>
      <c r="O210" t="str">
        <f t="shared" si="14"/>
        <v>INV/00207/JUL</v>
      </c>
    </row>
    <row r="211" spans="1:15" x14ac:dyDescent="0.35">
      <c r="A211" s="3" t="s">
        <v>1814</v>
      </c>
      <c r="B211" s="3" t="s">
        <v>1453</v>
      </c>
      <c r="C211" s="3" t="s">
        <v>1431</v>
      </c>
      <c r="D211" s="3" t="s">
        <v>1443</v>
      </c>
      <c r="E211" s="3" t="s">
        <v>1560</v>
      </c>
      <c r="F211" t="s">
        <v>1488</v>
      </c>
      <c r="G211" t="s">
        <v>1489</v>
      </c>
      <c r="H211" s="7">
        <v>46323</v>
      </c>
      <c r="I211" s="7">
        <v>46347</v>
      </c>
      <c r="J211" t="s">
        <v>2553</v>
      </c>
      <c r="K211" t="str">
        <f t="shared" si="15"/>
        <v>Gold Desk Lamp (S)</v>
      </c>
      <c r="L211" t="str">
        <f t="shared" si="12"/>
        <v>Sana</v>
      </c>
      <c r="M211" t="str">
        <f>SUBSTITUTE(Table1[[#This Row],[Raw_Address]], ", ", " - ")</f>
        <v>Atlanta - GA</v>
      </c>
      <c r="N211" t="str">
        <f t="shared" si="13"/>
        <v>Q4-2026</v>
      </c>
      <c r="O211" t="str">
        <f t="shared" si="14"/>
        <v>INV/00208/OCT</v>
      </c>
    </row>
    <row r="212" spans="1:15" x14ac:dyDescent="0.35">
      <c r="A212" s="3" t="s">
        <v>1815</v>
      </c>
      <c r="B212" s="3" t="s">
        <v>1464</v>
      </c>
      <c r="C212" s="3" t="s">
        <v>18</v>
      </c>
      <c r="D212" s="3" t="s">
        <v>1454</v>
      </c>
      <c r="E212" s="3" t="s">
        <v>1563</v>
      </c>
      <c r="F212" t="s">
        <v>1492</v>
      </c>
      <c r="G212" t="s">
        <v>1493</v>
      </c>
      <c r="H212" s="7">
        <v>46027</v>
      </c>
      <c r="I212" s="7">
        <v>46054</v>
      </c>
      <c r="J212" t="s">
        <v>2554</v>
      </c>
      <c r="K212" t="str">
        <f t="shared" si="15"/>
        <v>White Notebook (L)</v>
      </c>
      <c r="L212" t="str">
        <f t="shared" si="12"/>
        <v>Omar</v>
      </c>
      <c r="M212" t="str">
        <f>SUBSTITUTE(Table1[[#This Row],[Raw_Address]], ", ", " - ")</f>
        <v>Tampa - FL</v>
      </c>
      <c r="N212" t="str">
        <f t="shared" si="13"/>
        <v>Q1-2026</v>
      </c>
      <c r="O212" t="str">
        <f t="shared" si="14"/>
        <v>INV/00209/JAN</v>
      </c>
    </row>
    <row r="213" spans="1:15" x14ac:dyDescent="0.35">
      <c r="A213" s="3" t="s">
        <v>1816</v>
      </c>
      <c r="B213" s="3" t="s">
        <v>1474</v>
      </c>
      <c r="C213" s="3" t="s">
        <v>1431</v>
      </c>
      <c r="D213" s="3" t="s">
        <v>1465</v>
      </c>
      <c r="E213" s="3" t="s">
        <v>1566</v>
      </c>
      <c r="F213" t="s">
        <v>1496</v>
      </c>
      <c r="G213" t="s">
        <v>1497</v>
      </c>
      <c r="H213" s="7">
        <v>46122</v>
      </c>
      <c r="I213" s="7">
        <v>46152</v>
      </c>
      <c r="J213" t="s">
        <v>2555</v>
      </c>
      <c r="K213" t="str">
        <f t="shared" si="15"/>
        <v>Gold Power Bank (XS)</v>
      </c>
      <c r="L213" t="str">
        <f t="shared" si="12"/>
        <v>Nina</v>
      </c>
      <c r="M213" t="str">
        <f>SUBSTITUTE(Table1[[#This Row],[Raw_Address]], ", ", " - ")</f>
        <v>Phoenix - AZ</v>
      </c>
      <c r="N213" t="str">
        <f t="shared" si="13"/>
        <v>Q2-2026</v>
      </c>
      <c r="O213" t="str">
        <f t="shared" si="14"/>
        <v>INV/00210/APR</v>
      </c>
    </row>
    <row r="214" spans="1:15" x14ac:dyDescent="0.35">
      <c r="A214" s="3" t="s">
        <v>1817</v>
      </c>
      <c r="B214" s="3" t="s">
        <v>1419</v>
      </c>
      <c r="C214" s="3" t="s">
        <v>18</v>
      </c>
      <c r="D214" s="3" t="s">
        <v>1420</v>
      </c>
      <c r="E214" s="3" t="s">
        <v>1421</v>
      </c>
      <c r="F214" t="s">
        <v>1500</v>
      </c>
      <c r="G214" t="s">
        <v>1501</v>
      </c>
      <c r="H214" s="7">
        <v>46218</v>
      </c>
      <c r="I214" s="7">
        <v>46221</v>
      </c>
      <c r="J214" t="s">
        <v>2550</v>
      </c>
      <c r="K214" t="str">
        <f t="shared" si="15"/>
        <v>White Tablet (M)</v>
      </c>
      <c r="L214" t="str">
        <f t="shared" si="12"/>
        <v>Jack</v>
      </c>
      <c r="M214" t="str">
        <f>SUBSTITUTE(Table1[[#This Row],[Raw_Address]], ", ", " - ")</f>
        <v>Raleigh - NC</v>
      </c>
      <c r="N214" t="str">
        <f t="shared" si="13"/>
        <v>Q3-2026</v>
      </c>
      <c r="O214" t="str">
        <f t="shared" si="14"/>
        <v>INV/00211/JUL</v>
      </c>
    </row>
    <row r="215" spans="1:15" x14ac:dyDescent="0.35">
      <c r="A215" s="3" t="s">
        <v>1818</v>
      </c>
      <c r="B215" s="3" t="s">
        <v>1430</v>
      </c>
      <c r="C215" s="3" t="s">
        <v>1431</v>
      </c>
      <c r="D215" s="3" t="s">
        <v>1432</v>
      </c>
      <c r="E215" s="3" t="s">
        <v>1433</v>
      </c>
      <c r="F215" t="s">
        <v>1504</v>
      </c>
      <c r="G215" t="s">
        <v>1505</v>
      </c>
      <c r="H215" s="7">
        <v>46315</v>
      </c>
      <c r="I215" s="7">
        <v>46321</v>
      </c>
      <c r="J215" t="s">
        <v>2551</v>
      </c>
      <c r="K215" t="str">
        <f t="shared" si="15"/>
        <v>Gold Mouse (XL)</v>
      </c>
      <c r="L215" t="str">
        <f t="shared" si="12"/>
        <v>Victor</v>
      </c>
      <c r="M215" t="str">
        <f>SUBSTITUTE(Table1[[#This Row],[Raw_Address]], ", ", " - ")</f>
        <v>Miami - FL</v>
      </c>
      <c r="N215" t="str">
        <f t="shared" si="13"/>
        <v>Q4-2026</v>
      </c>
      <c r="O215" t="str">
        <f t="shared" si="14"/>
        <v>INV/00212/OCT</v>
      </c>
    </row>
    <row r="216" spans="1:15" x14ac:dyDescent="0.35">
      <c r="A216" s="3" t="s">
        <v>1819</v>
      </c>
      <c r="B216" s="3" t="s">
        <v>1442</v>
      </c>
      <c r="C216" s="3" t="s">
        <v>18</v>
      </c>
      <c r="D216" s="3" t="s">
        <v>1443</v>
      </c>
      <c r="E216" s="3" t="s">
        <v>1444</v>
      </c>
      <c r="F216" t="s">
        <v>1508</v>
      </c>
      <c r="G216" t="s">
        <v>1509</v>
      </c>
      <c r="H216" s="7">
        <v>46047</v>
      </c>
      <c r="I216" s="7">
        <v>46056</v>
      </c>
      <c r="J216" t="s">
        <v>2552</v>
      </c>
      <c r="K216" t="str">
        <f t="shared" si="15"/>
        <v>White Camera (S)</v>
      </c>
      <c r="L216" t="str">
        <f t="shared" si="12"/>
        <v>Liam</v>
      </c>
      <c r="M216" t="str">
        <f>SUBSTITUTE(Table1[[#This Row],[Raw_Address]], ", ", " - ")</f>
        <v>Charlotte - NC</v>
      </c>
      <c r="N216" t="str">
        <f t="shared" si="13"/>
        <v>Q1-2026</v>
      </c>
      <c r="O216" t="str">
        <f t="shared" si="14"/>
        <v>INV/00213/JAN</v>
      </c>
    </row>
    <row r="217" spans="1:15" x14ac:dyDescent="0.35">
      <c r="A217" s="3" t="s">
        <v>1820</v>
      </c>
      <c r="B217" s="3" t="s">
        <v>1453</v>
      </c>
      <c r="C217" s="3" t="s">
        <v>1431</v>
      </c>
      <c r="D217" s="3" t="s">
        <v>1454</v>
      </c>
      <c r="E217" s="3" t="s">
        <v>1455</v>
      </c>
      <c r="F217" t="s">
        <v>1512</v>
      </c>
      <c r="G217" t="s">
        <v>1513</v>
      </c>
      <c r="H217" s="7">
        <v>46114</v>
      </c>
      <c r="I217" s="7">
        <v>46126</v>
      </c>
      <c r="J217" t="s">
        <v>2553</v>
      </c>
      <c r="K217" t="str">
        <f t="shared" si="15"/>
        <v>Gold Desk Lamp (L)</v>
      </c>
      <c r="L217" t="str">
        <f t="shared" si="12"/>
        <v>Elijah</v>
      </c>
      <c r="M217" t="str">
        <f>SUBSTITUTE(Table1[[#This Row],[Raw_Address]], ", ", " - ")</f>
        <v>Austin - TX</v>
      </c>
      <c r="N217" t="str">
        <f t="shared" si="13"/>
        <v>Q2-2026</v>
      </c>
      <c r="O217" t="str">
        <f t="shared" si="14"/>
        <v>INV/00214/APR</v>
      </c>
    </row>
    <row r="218" spans="1:15" x14ac:dyDescent="0.35">
      <c r="A218" s="3" t="s">
        <v>1821</v>
      </c>
      <c r="B218" s="3" t="s">
        <v>1464</v>
      </c>
      <c r="C218" s="3" t="s">
        <v>18</v>
      </c>
      <c r="D218" s="3" t="s">
        <v>1465</v>
      </c>
      <c r="E218" s="3" t="s">
        <v>1466</v>
      </c>
      <c r="F218" t="s">
        <v>1516</v>
      </c>
      <c r="G218" t="s">
        <v>1517</v>
      </c>
      <c r="H218" s="7">
        <v>46210</v>
      </c>
      <c r="I218" s="7">
        <v>46225</v>
      </c>
      <c r="J218" t="s">
        <v>2554</v>
      </c>
      <c r="K218" t="str">
        <f t="shared" si="15"/>
        <v>White Notebook (XS)</v>
      </c>
      <c r="L218" t="str">
        <f t="shared" si="12"/>
        <v>Lucas</v>
      </c>
      <c r="M218" t="str">
        <f>SUBSTITUTE(Table1[[#This Row],[Raw_Address]], ", ", " - ")</f>
        <v>San Diego - CA</v>
      </c>
      <c r="N218" t="str">
        <f t="shared" si="13"/>
        <v>Q3-2026</v>
      </c>
      <c r="O218" t="str">
        <f t="shared" si="14"/>
        <v>INV/00215/JUL</v>
      </c>
    </row>
    <row r="219" spans="1:15" x14ac:dyDescent="0.35">
      <c r="A219" s="3" t="s">
        <v>1822</v>
      </c>
      <c r="B219" s="3" t="s">
        <v>1474</v>
      </c>
      <c r="C219" s="3" t="s">
        <v>1431</v>
      </c>
      <c r="D219" s="3" t="s">
        <v>1420</v>
      </c>
      <c r="E219" s="3" t="s">
        <v>1475</v>
      </c>
      <c r="F219" t="s">
        <v>1520</v>
      </c>
      <c r="G219" t="s">
        <v>1521</v>
      </c>
      <c r="H219" s="7">
        <v>46307</v>
      </c>
      <c r="I219" s="7">
        <v>46325</v>
      </c>
      <c r="J219" t="s">
        <v>2555</v>
      </c>
      <c r="K219" t="str">
        <f t="shared" si="15"/>
        <v>Gold Power Bank (M)</v>
      </c>
      <c r="L219" t="str">
        <f t="shared" si="12"/>
        <v>Ethan</v>
      </c>
      <c r="M219" t="str">
        <f>SUBSTITUTE(Table1[[#This Row],[Raw_Address]], ", ", " - ")</f>
        <v>Kansas City - MO</v>
      </c>
      <c r="N219" t="str">
        <f t="shared" si="13"/>
        <v>Q4-2026</v>
      </c>
      <c r="O219" t="str">
        <f t="shared" si="14"/>
        <v>INV/00216/OCT</v>
      </c>
    </row>
    <row r="220" spans="1:15" x14ac:dyDescent="0.35">
      <c r="A220" s="3" t="s">
        <v>1823</v>
      </c>
      <c r="B220" s="3" t="s">
        <v>1419</v>
      </c>
      <c r="C220" s="3" t="s">
        <v>18</v>
      </c>
      <c r="D220" s="3" t="s">
        <v>1432</v>
      </c>
      <c r="E220" s="3" t="s">
        <v>1483</v>
      </c>
      <c r="F220" t="s">
        <v>1524</v>
      </c>
      <c r="G220" t="s">
        <v>1525</v>
      </c>
      <c r="H220" s="7">
        <v>46039</v>
      </c>
      <c r="I220" s="7">
        <v>46060</v>
      </c>
      <c r="J220" t="s">
        <v>2550</v>
      </c>
      <c r="K220" t="str">
        <f t="shared" si="15"/>
        <v>White Tablet (XL)</v>
      </c>
      <c r="L220" t="str">
        <f t="shared" si="12"/>
        <v>Evelyn</v>
      </c>
      <c r="M220" t="str">
        <f>SUBSTITUTE(Table1[[#This Row],[Raw_Address]], ", ", " - ")</f>
        <v>Portland - OR</v>
      </c>
      <c r="N220" t="str">
        <f t="shared" si="13"/>
        <v>Q1-2026</v>
      </c>
      <c r="O220" t="str">
        <f t="shared" si="14"/>
        <v>INV/00217/JAN</v>
      </c>
    </row>
    <row r="221" spans="1:15" x14ac:dyDescent="0.35">
      <c r="A221" s="3" t="s">
        <v>1824</v>
      </c>
      <c r="B221" s="3" t="s">
        <v>1430</v>
      </c>
      <c r="C221" s="3" t="s">
        <v>1431</v>
      </c>
      <c r="D221" s="3" t="s">
        <v>1443</v>
      </c>
      <c r="E221" s="3" t="s">
        <v>1487</v>
      </c>
      <c r="F221" t="s">
        <v>1528</v>
      </c>
      <c r="G221" t="s">
        <v>1529</v>
      </c>
      <c r="H221" s="7">
        <v>46134</v>
      </c>
      <c r="I221" s="7">
        <v>46158</v>
      </c>
      <c r="J221" t="s">
        <v>2551</v>
      </c>
      <c r="K221" t="str">
        <f t="shared" si="15"/>
        <v>Gold Mouse (S)</v>
      </c>
      <c r="L221" t="str">
        <f t="shared" si="12"/>
        <v>Scarlett</v>
      </c>
      <c r="M221" t="str">
        <f>SUBSTITUTE(Table1[[#This Row],[Raw_Address]], ", ", " - ")</f>
        <v>Las Vegas - NV</v>
      </c>
      <c r="N221" t="str">
        <f t="shared" si="13"/>
        <v>Q2-2026</v>
      </c>
      <c r="O221" t="str">
        <f t="shared" si="14"/>
        <v>INV/00218/APR</v>
      </c>
    </row>
    <row r="222" spans="1:15" x14ac:dyDescent="0.35">
      <c r="A222" s="3" t="s">
        <v>1825</v>
      </c>
      <c r="B222" s="3" t="s">
        <v>1442</v>
      </c>
      <c r="C222" s="3" t="s">
        <v>18</v>
      </c>
      <c r="D222" s="3" t="s">
        <v>1454</v>
      </c>
      <c r="E222" s="3" t="s">
        <v>1491</v>
      </c>
      <c r="F222" t="s">
        <v>1532</v>
      </c>
      <c r="G222" t="s">
        <v>1533</v>
      </c>
      <c r="H222" s="7">
        <v>46230</v>
      </c>
      <c r="I222" s="7">
        <v>46257</v>
      </c>
      <c r="J222" t="s">
        <v>2552</v>
      </c>
      <c r="K222" t="str">
        <f t="shared" si="15"/>
        <v>White Camera (L)</v>
      </c>
      <c r="L222" t="str">
        <f t="shared" si="12"/>
        <v>Sofia</v>
      </c>
      <c r="M222" t="str">
        <f>SUBSTITUTE(Table1[[#This Row],[Raw_Address]], ", ", " - ")</f>
        <v>Chicago - IL</v>
      </c>
      <c r="N222" t="str">
        <f t="shared" si="13"/>
        <v>Q3-2026</v>
      </c>
      <c r="O222" t="str">
        <f t="shared" si="14"/>
        <v>INV/00219/JUL</v>
      </c>
    </row>
    <row r="223" spans="1:15" x14ac:dyDescent="0.35">
      <c r="A223" s="3" t="s">
        <v>1826</v>
      </c>
      <c r="B223" s="3" t="s">
        <v>1453</v>
      </c>
      <c r="C223" s="3" t="s">
        <v>1431</v>
      </c>
      <c r="D223" s="3" t="s">
        <v>1465</v>
      </c>
      <c r="E223" s="3" t="s">
        <v>1495</v>
      </c>
      <c r="F223" t="s">
        <v>1536</v>
      </c>
      <c r="G223" t="s">
        <v>1537</v>
      </c>
      <c r="H223" s="7">
        <v>46299</v>
      </c>
      <c r="I223" s="7">
        <v>46329</v>
      </c>
      <c r="J223" t="s">
        <v>2553</v>
      </c>
      <c r="K223" t="str">
        <f t="shared" si="15"/>
        <v>Gold Desk Lamp (XS)</v>
      </c>
      <c r="L223" t="str">
        <f t="shared" si="12"/>
        <v>Priya</v>
      </c>
      <c r="M223" t="str">
        <f>SUBSTITUTE(Table1[[#This Row],[Raw_Address]], ", ", " - ")</f>
        <v>Detroit - MI</v>
      </c>
      <c r="N223" t="str">
        <f t="shared" si="13"/>
        <v>Q4-2026</v>
      </c>
      <c r="O223" t="str">
        <f t="shared" si="14"/>
        <v>INV/00220/OCT</v>
      </c>
    </row>
    <row r="224" spans="1:15" x14ac:dyDescent="0.35">
      <c r="A224" s="3" t="s">
        <v>1827</v>
      </c>
      <c r="B224" s="3" t="s">
        <v>1464</v>
      </c>
      <c r="C224" s="3" t="s">
        <v>18</v>
      </c>
      <c r="D224" s="3" t="s">
        <v>1420</v>
      </c>
      <c r="E224" s="3" t="s">
        <v>1499</v>
      </c>
      <c r="F224" t="s">
        <v>1540</v>
      </c>
      <c r="G224" t="s">
        <v>1423</v>
      </c>
      <c r="H224" s="7">
        <v>46031</v>
      </c>
      <c r="I224" s="7">
        <v>46034</v>
      </c>
      <c r="J224" t="s">
        <v>2554</v>
      </c>
      <c r="K224" t="str">
        <f t="shared" si="15"/>
        <v>White Notebook (M)</v>
      </c>
      <c r="L224" t="str">
        <f t="shared" si="12"/>
        <v>Kabir</v>
      </c>
      <c r="M224" t="str">
        <f>SUBSTITUTE(Table1[[#This Row],[Raw_Address]], ", ", " - ")</f>
        <v>Boston - MA</v>
      </c>
      <c r="N224" t="str">
        <f t="shared" si="13"/>
        <v>Q1-2026</v>
      </c>
      <c r="O224" t="str">
        <f t="shared" si="14"/>
        <v>INV/00221/JAN</v>
      </c>
    </row>
    <row r="225" spans="1:15" x14ac:dyDescent="0.35">
      <c r="A225" s="3" t="s">
        <v>1828</v>
      </c>
      <c r="B225" s="3" t="s">
        <v>1474</v>
      </c>
      <c r="C225" s="3" t="s">
        <v>1431</v>
      </c>
      <c r="D225" s="3" t="s">
        <v>1432</v>
      </c>
      <c r="E225" s="3" t="s">
        <v>1503</v>
      </c>
      <c r="F225" t="s">
        <v>1543</v>
      </c>
      <c r="G225" t="s">
        <v>1435</v>
      </c>
      <c r="H225" s="7">
        <v>46126</v>
      </c>
      <c r="I225" s="7">
        <v>46132</v>
      </c>
      <c r="J225" t="s">
        <v>2555</v>
      </c>
      <c r="K225" t="str">
        <f t="shared" si="15"/>
        <v>Gold Power Bank (XL)</v>
      </c>
      <c r="L225" t="str">
        <f t="shared" si="12"/>
        <v>Fatima</v>
      </c>
      <c r="M225" t="str">
        <f>SUBSTITUTE(Table1[[#This Row],[Raw_Address]], ", ", " - ")</f>
        <v>Columbus - OH</v>
      </c>
      <c r="N225" t="str">
        <f t="shared" si="13"/>
        <v>Q2-2026</v>
      </c>
      <c r="O225" t="str">
        <f t="shared" si="14"/>
        <v>INV/00222/APR</v>
      </c>
    </row>
    <row r="226" spans="1:15" x14ac:dyDescent="0.35">
      <c r="A226" s="3" t="s">
        <v>1829</v>
      </c>
      <c r="B226" s="3" t="s">
        <v>1419</v>
      </c>
      <c r="C226" s="3" t="s">
        <v>18</v>
      </c>
      <c r="D226" s="3" t="s">
        <v>1443</v>
      </c>
      <c r="E226" s="3" t="s">
        <v>1507</v>
      </c>
      <c r="F226" t="s">
        <v>1546</v>
      </c>
      <c r="G226" t="s">
        <v>1446</v>
      </c>
      <c r="H226" s="7">
        <v>46222</v>
      </c>
      <c r="I226" s="7">
        <v>46231</v>
      </c>
      <c r="J226" t="s">
        <v>2550</v>
      </c>
      <c r="K226" t="str">
        <f t="shared" si="15"/>
        <v>White Tablet (S)</v>
      </c>
      <c r="L226" t="str">
        <f t="shared" si="12"/>
        <v>Grace</v>
      </c>
      <c r="M226" t="str">
        <f>SUBSTITUTE(Table1[[#This Row],[Raw_Address]], ", ", " - ")</f>
        <v>Denver - CO</v>
      </c>
      <c r="N226" t="str">
        <f t="shared" si="13"/>
        <v>Q3-2026</v>
      </c>
      <c r="O226" t="str">
        <f t="shared" si="14"/>
        <v>INV/00223/JUL</v>
      </c>
    </row>
    <row r="227" spans="1:15" x14ac:dyDescent="0.35">
      <c r="A227" s="3" t="s">
        <v>1830</v>
      </c>
      <c r="B227" s="3" t="s">
        <v>1430</v>
      </c>
      <c r="C227" s="3" t="s">
        <v>1431</v>
      </c>
      <c r="D227" s="3" t="s">
        <v>1454</v>
      </c>
      <c r="E227" s="3" t="s">
        <v>1511</v>
      </c>
      <c r="F227" t="s">
        <v>1549</v>
      </c>
      <c r="G227" t="s">
        <v>1457</v>
      </c>
      <c r="H227" s="7">
        <v>46319</v>
      </c>
      <c r="I227" s="7">
        <v>46331</v>
      </c>
      <c r="J227" t="s">
        <v>2551</v>
      </c>
      <c r="K227" t="str">
        <f t="shared" si="15"/>
        <v>Gold Mouse (L)</v>
      </c>
      <c r="L227" t="str">
        <f t="shared" si="12"/>
        <v>David</v>
      </c>
      <c r="M227" t="str">
        <f>SUBSTITUTE(Table1[[#This Row],[Raw_Address]], ", ", " - ")</f>
        <v>Dallas - TX</v>
      </c>
      <c r="N227" t="str">
        <f t="shared" si="13"/>
        <v>Q4-2026</v>
      </c>
      <c r="O227" t="str">
        <f t="shared" si="14"/>
        <v>INV/00224/OCT</v>
      </c>
    </row>
    <row r="228" spans="1:15" x14ac:dyDescent="0.35">
      <c r="A228" s="3" t="s">
        <v>1831</v>
      </c>
      <c r="B228" s="3" t="s">
        <v>1442</v>
      </c>
      <c r="C228" s="3" t="s">
        <v>18</v>
      </c>
      <c r="D228" s="3" t="s">
        <v>1465</v>
      </c>
      <c r="E228" s="3" t="s">
        <v>1515</v>
      </c>
      <c r="F228" t="s">
        <v>1552</v>
      </c>
      <c r="G228" t="s">
        <v>1468</v>
      </c>
      <c r="H228" s="7">
        <v>46023</v>
      </c>
      <c r="I228" s="7">
        <v>46038</v>
      </c>
      <c r="J228" t="s">
        <v>2552</v>
      </c>
      <c r="K228" t="str">
        <f t="shared" si="15"/>
        <v>White Camera (XS)</v>
      </c>
      <c r="L228" t="str">
        <f t="shared" si="12"/>
        <v>Anaya</v>
      </c>
      <c r="M228" t="str">
        <f>SUBSTITUTE(Table1[[#This Row],[Raw_Address]], ", ", " - ")</f>
        <v>Seattle - WA</v>
      </c>
      <c r="N228" t="str">
        <f t="shared" si="13"/>
        <v>Q1-2026</v>
      </c>
      <c r="O228" t="str">
        <f t="shared" si="14"/>
        <v>INV/00225/JAN</v>
      </c>
    </row>
    <row r="229" spans="1:15" x14ac:dyDescent="0.35">
      <c r="A229" s="3" t="s">
        <v>1832</v>
      </c>
      <c r="B229" s="3" t="s">
        <v>1453</v>
      </c>
      <c r="C229" s="3" t="s">
        <v>1431</v>
      </c>
      <c r="D229" s="3" t="s">
        <v>1420</v>
      </c>
      <c r="E229" s="3" t="s">
        <v>1519</v>
      </c>
      <c r="F229" t="s">
        <v>1555</v>
      </c>
      <c r="G229" t="s">
        <v>1477</v>
      </c>
      <c r="H229" s="7">
        <v>46118</v>
      </c>
      <c r="I229" s="7">
        <v>46136</v>
      </c>
      <c r="J229" t="s">
        <v>2553</v>
      </c>
      <c r="K229" t="str">
        <f t="shared" si="15"/>
        <v>Gold Desk Lamp (M)</v>
      </c>
      <c r="L229" t="str">
        <f t="shared" si="12"/>
        <v>Emma</v>
      </c>
      <c r="M229" t="str">
        <f>SUBSTITUTE(Table1[[#This Row],[Raw_Address]], ", ", " - ")</f>
        <v>Nashville - TN</v>
      </c>
      <c r="N229" t="str">
        <f t="shared" si="13"/>
        <v>Q2-2026</v>
      </c>
      <c r="O229" t="str">
        <f t="shared" si="14"/>
        <v>INV/00226/APR</v>
      </c>
    </row>
    <row r="230" spans="1:15" x14ac:dyDescent="0.35">
      <c r="A230" s="3" t="s">
        <v>1833</v>
      </c>
      <c r="B230" s="3" t="s">
        <v>1464</v>
      </c>
      <c r="C230" s="3" t="s">
        <v>18</v>
      </c>
      <c r="D230" s="3" t="s">
        <v>1432</v>
      </c>
      <c r="E230" s="3" t="s">
        <v>1523</v>
      </c>
      <c r="F230" t="s">
        <v>1558</v>
      </c>
      <c r="G230" t="s">
        <v>1485</v>
      </c>
      <c r="H230" s="7">
        <v>46214</v>
      </c>
      <c r="I230" s="7">
        <v>46235</v>
      </c>
      <c r="J230" t="s">
        <v>2554</v>
      </c>
      <c r="K230" t="str">
        <f t="shared" si="15"/>
        <v>White Notebook (XL)</v>
      </c>
      <c r="L230" t="str">
        <f t="shared" si="12"/>
        <v>Mason</v>
      </c>
      <c r="M230" t="str">
        <f>SUBSTITUTE(Table1[[#This Row],[Raw_Address]], ", ", " - ")</f>
        <v>Minneapolis - MN</v>
      </c>
      <c r="N230" t="str">
        <f t="shared" si="13"/>
        <v>Q3-2026</v>
      </c>
      <c r="O230" t="str">
        <f t="shared" si="14"/>
        <v>INV/00227/JUL</v>
      </c>
    </row>
    <row r="231" spans="1:15" x14ac:dyDescent="0.35">
      <c r="A231" s="3" t="s">
        <v>1834</v>
      </c>
      <c r="B231" s="3" t="s">
        <v>1474</v>
      </c>
      <c r="C231" s="3" t="s">
        <v>1431</v>
      </c>
      <c r="D231" s="3" t="s">
        <v>1443</v>
      </c>
      <c r="E231" s="3" t="s">
        <v>1527</v>
      </c>
      <c r="F231" t="s">
        <v>1561</v>
      </c>
      <c r="G231" t="s">
        <v>1489</v>
      </c>
      <c r="H231" s="7">
        <v>46311</v>
      </c>
      <c r="I231" s="7">
        <v>46335</v>
      </c>
      <c r="J231" t="s">
        <v>2555</v>
      </c>
      <c r="K231" t="str">
        <f t="shared" si="15"/>
        <v>Gold Power Bank (S)</v>
      </c>
      <c r="L231" t="str">
        <f t="shared" si="12"/>
        <v>Amelia</v>
      </c>
      <c r="M231" t="str">
        <f>SUBSTITUTE(Table1[[#This Row],[Raw_Address]], ", ", " - ")</f>
        <v>Atlanta - GA</v>
      </c>
      <c r="N231" t="str">
        <f t="shared" si="13"/>
        <v>Q4-2026</v>
      </c>
      <c r="O231" t="str">
        <f t="shared" si="14"/>
        <v>INV/00228/OCT</v>
      </c>
    </row>
    <row r="232" spans="1:15" x14ac:dyDescent="0.35">
      <c r="A232" s="3" t="s">
        <v>1835</v>
      </c>
      <c r="B232" s="3" t="s">
        <v>1419</v>
      </c>
      <c r="C232" s="3" t="s">
        <v>18</v>
      </c>
      <c r="D232" s="3" t="s">
        <v>1454</v>
      </c>
      <c r="E232" s="3" t="s">
        <v>1531</v>
      </c>
      <c r="F232" t="s">
        <v>1564</v>
      </c>
      <c r="G232" t="s">
        <v>1493</v>
      </c>
      <c r="H232" s="7">
        <v>46043</v>
      </c>
      <c r="I232" s="7">
        <v>46070</v>
      </c>
      <c r="J232" t="s">
        <v>2550</v>
      </c>
      <c r="K232" t="str">
        <f t="shared" si="15"/>
        <v>White Tablet (L)</v>
      </c>
      <c r="L232" t="str">
        <f t="shared" si="12"/>
        <v>Charlotte</v>
      </c>
      <c r="M232" t="str">
        <f>SUBSTITUTE(Table1[[#This Row],[Raw_Address]], ", ", " - ")</f>
        <v>Tampa - FL</v>
      </c>
      <c r="N232" t="str">
        <f t="shared" si="13"/>
        <v>Q1-2026</v>
      </c>
      <c r="O232" t="str">
        <f t="shared" si="14"/>
        <v>INV/00229/JAN</v>
      </c>
    </row>
    <row r="233" spans="1:15" x14ac:dyDescent="0.35">
      <c r="A233" s="3" t="s">
        <v>1836</v>
      </c>
      <c r="B233" s="3" t="s">
        <v>1430</v>
      </c>
      <c r="C233" s="3" t="s">
        <v>1431</v>
      </c>
      <c r="D233" s="3" t="s">
        <v>1465</v>
      </c>
      <c r="E233" s="3" t="s">
        <v>1535</v>
      </c>
      <c r="F233" t="s">
        <v>1567</v>
      </c>
      <c r="G233" t="s">
        <v>1497</v>
      </c>
      <c r="H233" s="7">
        <v>46138</v>
      </c>
      <c r="I233" s="7">
        <v>46168</v>
      </c>
      <c r="J233" t="s">
        <v>2551</v>
      </c>
      <c r="K233" t="str">
        <f t="shared" si="15"/>
        <v>Gold Mouse (XS)</v>
      </c>
      <c r="L233" t="str">
        <f t="shared" si="12"/>
        <v>Henry</v>
      </c>
      <c r="M233" t="str">
        <f>SUBSTITUTE(Table1[[#This Row],[Raw_Address]], ", ", " - ")</f>
        <v>Phoenix - AZ</v>
      </c>
      <c r="N233" t="str">
        <f t="shared" si="13"/>
        <v>Q2-2026</v>
      </c>
      <c r="O233" t="str">
        <f t="shared" si="14"/>
        <v>INV/00230/APR</v>
      </c>
    </row>
    <row r="234" spans="1:15" x14ac:dyDescent="0.35">
      <c r="A234" s="3" t="s">
        <v>1837</v>
      </c>
      <c r="B234" s="3" t="s">
        <v>1442</v>
      </c>
      <c r="C234" s="3" t="s">
        <v>18</v>
      </c>
      <c r="D234" s="3" t="s">
        <v>1420</v>
      </c>
      <c r="E234" s="3" t="s">
        <v>1539</v>
      </c>
      <c r="F234" t="s">
        <v>1569</v>
      </c>
      <c r="G234" t="s">
        <v>1501</v>
      </c>
      <c r="H234" s="7">
        <v>46206</v>
      </c>
      <c r="I234" s="7">
        <v>46209</v>
      </c>
      <c r="J234" t="s">
        <v>2552</v>
      </c>
      <c r="K234" t="str">
        <f t="shared" si="15"/>
        <v>White Camera (M)</v>
      </c>
      <c r="L234" t="str">
        <f t="shared" si="12"/>
        <v>Michael</v>
      </c>
      <c r="M234" t="str">
        <f>SUBSTITUTE(Table1[[#This Row],[Raw_Address]], ", ", " - ")</f>
        <v>Raleigh - NC</v>
      </c>
      <c r="N234" t="str">
        <f t="shared" si="13"/>
        <v>Q3-2026</v>
      </c>
      <c r="O234" t="str">
        <f t="shared" si="14"/>
        <v>INV/00231/JUL</v>
      </c>
    </row>
    <row r="235" spans="1:15" x14ac:dyDescent="0.35">
      <c r="A235" s="3" t="s">
        <v>1838</v>
      </c>
      <c r="B235" s="3" t="s">
        <v>1453</v>
      </c>
      <c r="C235" s="3" t="s">
        <v>1431</v>
      </c>
      <c r="D235" s="3" t="s">
        <v>1432</v>
      </c>
      <c r="E235" s="3" t="s">
        <v>1542</v>
      </c>
      <c r="F235" t="s">
        <v>1571</v>
      </c>
      <c r="G235" t="s">
        <v>1505</v>
      </c>
      <c r="H235" s="7">
        <v>46303</v>
      </c>
      <c r="I235" s="7">
        <v>46309</v>
      </c>
      <c r="J235" t="s">
        <v>2553</v>
      </c>
      <c r="K235" t="str">
        <f t="shared" si="15"/>
        <v>Gold Desk Lamp (XL)</v>
      </c>
      <c r="L235" t="str">
        <f t="shared" si="12"/>
        <v>Mateo</v>
      </c>
      <c r="M235" t="str">
        <f>SUBSTITUTE(Table1[[#This Row],[Raw_Address]], ", ", " - ")</f>
        <v>Miami - FL</v>
      </c>
      <c r="N235" t="str">
        <f t="shared" si="13"/>
        <v>Q4-2026</v>
      </c>
      <c r="O235" t="str">
        <f t="shared" si="14"/>
        <v>INV/00232/OCT</v>
      </c>
    </row>
    <row r="236" spans="1:15" x14ac:dyDescent="0.35">
      <c r="A236" s="3" t="s">
        <v>1839</v>
      </c>
      <c r="B236" s="3" t="s">
        <v>1464</v>
      </c>
      <c r="C236" s="3" t="s">
        <v>18</v>
      </c>
      <c r="D236" s="3" t="s">
        <v>1443</v>
      </c>
      <c r="E236" s="3" t="s">
        <v>1545</v>
      </c>
      <c r="F236" t="s">
        <v>1573</v>
      </c>
      <c r="G236" t="s">
        <v>1509</v>
      </c>
      <c r="H236" s="7">
        <v>46035</v>
      </c>
      <c r="I236" s="7">
        <v>46044</v>
      </c>
      <c r="J236" t="s">
        <v>2554</v>
      </c>
      <c r="K236" t="str">
        <f t="shared" si="15"/>
        <v>White Notebook (S)</v>
      </c>
      <c r="L236" t="str">
        <f t="shared" si="12"/>
        <v>Sana</v>
      </c>
      <c r="M236" t="str">
        <f>SUBSTITUTE(Table1[[#This Row],[Raw_Address]], ", ", " - ")</f>
        <v>Charlotte - NC</v>
      </c>
      <c r="N236" t="str">
        <f t="shared" si="13"/>
        <v>Q1-2026</v>
      </c>
      <c r="O236" t="str">
        <f t="shared" si="14"/>
        <v>INV/00233/JAN</v>
      </c>
    </row>
    <row r="237" spans="1:15" x14ac:dyDescent="0.35">
      <c r="A237" s="3" t="s">
        <v>1840</v>
      </c>
      <c r="B237" s="3" t="s">
        <v>1474</v>
      </c>
      <c r="C237" s="3" t="s">
        <v>1431</v>
      </c>
      <c r="D237" s="3" t="s">
        <v>1454</v>
      </c>
      <c r="E237" s="3" t="s">
        <v>1548</v>
      </c>
      <c r="F237" t="s">
        <v>1575</v>
      </c>
      <c r="G237" t="s">
        <v>1513</v>
      </c>
      <c r="H237" s="7">
        <v>46130</v>
      </c>
      <c r="I237" s="7">
        <v>46142</v>
      </c>
      <c r="J237" t="s">
        <v>2555</v>
      </c>
      <c r="K237" t="str">
        <f t="shared" si="15"/>
        <v>Gold Power Bank (L)</v>
      </c>
      <c r="L237" t="str">
        <f t="shared" si="12"/>
        <v>Omar</v>
      </c>
      <c r="M237" t="str">
        <f>SUBSTITUTE(Table1[[#This Row],[Raw_Address]], ", ", " - ")</f>
        <v>Austin - TX</v>
      </c>
      <c r="N237" t="str">
        <f t="shared" si="13"/>
        <v>Q2-2026</v>
      </c>
      <c r="O237" t="str">
        <f t="shared" si="14"/>
        <v>INV/00234/APR</v>
      </c>
    </row>
    <row r="238" spans="1:15" x14ac:dyDescent="0.35">
      <c r="A238" s="3" t="s">
        <v>1841</v>
      </c>
      <c r="B238" s="3" t="s">
        <v>1419</v>
      </c>
      <c r="C238" s="3" t="s">
        <v>18</v>
      </c>
      <c r="D238" s="3" t="s">
        <v>1465</v>
      </c>
      <c r="E238" s="3" t="s">
        <v>1551</v>
      </c>
      <c r="F238" t="s">
        <v>1577</v>
      </c>
      <c r="G238" t="s">
        <v>1517</v>
      </c>
      <c r="H238" s="7">
        <v>46226</v>
      </c>
      <c r="I238" s="7">
        <v>46241</v>
      </c>
      <c r="J238" t="s">
        <v>2550</v>
      </c>
      <c r="K238" t="str">
        <f t="shared" si="15"/>
        <v>White Tablet (XS)</v>
      </c>
      <c r="L238" t="str">
        <f t="shared" si="12"/>
        <v>Nina</v>
      </c>
      <c r="M238" t="str">
        <f>SUBSTITUTE(Table1[[#This Row],[Raw_Address]], ", ", " - ")</f>
        <v>San Diego - CA</v>
      </c>
      <c r="N238" t="str">
        <f t="shared" si="13"/>
        <v>Q3-2026</v>
      </c>
      <c r="O238" t="str">
        <f t="shared" si="14"/>
        <v>INV/00235/JUL</v>
      </c>
    </row>
    <row r="239" spans="1:15" x14ac:dyDescent="0.35">
      <c r="A239" s="3" t="s">
        <v>1842</v>
      </c>
      <c r="B239" s="3" t="s">
        <v>1430</v>
      </c>
      <c r="C239" s="3" t="s">
        <v>1431</v>
      </c>
      <c r="D239" s="3" t="s">
        <v>1420</v>
      </c>
      <c r="E239" s="3" t="s">
        <v>1554</v>
      </c>
      <c r="F239" t="s">
        <v>1579</v>
      </c>
      <c r="G239" t="s">
        <v>1521</v>
      </c>
      <c r="H239" s="7">
        <v>46323</v>
      </c>
      <c r="I239" s="7">
        <v>46341</v>
      </c>
      <c r="J239" t="s">
        <v>2551</v>
      </c>
      <c r="K239" t="str">
        <f t="shared" si="15"/>
        <v>Gold Mouse (M)</v>
      </c>
      <c r="L239" t="str">
        <f t="shared" si="12"/>
        <v>Jack</v>
      </c>
      <c r="M239" t="str">
        <f>SUBSTITUTE(Table1[[#This Row],[Raw_Address]], ", ", " - ")</f>
        <v>Kansas City - MO</v>
      </c>
      <c r="N239" t="str">
        <f t="shared" si="13"/>
        <v>Q4-2026</v>
      </c>
      <c r="O239" t="str">
        <f t="shared" si="14"/>
        <v>INV/00236/OCT</v>
      </c>
    </row>
    <row r="240" spans="1:15" x14ac:dyDescent="0.35">
      <c r="A240" s="3" t="s">
        <v>1843</v>
      </c>
      <c r="B240" s="3" t="s">
        <v>1442</v>
      </c>
      <c r="C240" s="3" t="s">
        <v>18</v>
      </c>
      <c r="D240" s="3" t="s">
        <v>1432</v>
      </c>
      <c r="E240" s="3" t="s">
        <v>1557</v>
      </c>
      <c r="F240" t="s">
        <v>1581</v>
      </c>
      <c r="G240" t="s">
        <v>1525</v>
      </c>
      <c r="H240" s="7">
        <v>46027</v>
      </c>
      <c r="I240" s="7">
        <v>46048</v>
      </c>
      <c r="J240" t="s">
        <v>2552</v>
      </c>
      <c r="K240" t="str">
        <f t="shared" si="15"/>
        <v>White Camera (XL)</v>
      </c>
      <c r="L240" t="str">
        <f t="shared" si="12"/>
        <v>Victor</v>
      </c>
      <c r="M240" t="str">
        <f>SUBSTITUTE(Table1[[#This Row],[Raw_Address]], ", ", " - ")</f>
        <v>Portland - OR</v>
      </c>
      <c r="N240" t="str">
        <f t="shared" si="13"/>
        <v>Q1-2026</v>
      </c>
      <c r="O240" t="str">
        <f t="shared" si="14"/>
        <v>INV/00237/JAN</v>
      </c>
    </row>
    <row r="241" spans="1:15" x14ac:dyDescent="0.35">
      <c r="A241" s="3" t="s">
        <v>1844</v>
      </c>
      <c r="B241" s="3" t="s">
        <v>1453</v>
      </c>
      <c r="C241" s="3" t="s">
        <v>1431</v>
      </c>
      <c r="D241" s="3" t="s">
        <v>1443</v>
      </c>
      <c r="E241" s="3" t="s">
        <v>1560</v>
      </c>
      <c r="F241" t="s">
        <v>1583</v>
      </c>
      <c r="G241" t="s">
        <v>1529</v>
      </c>
      <c r="H241" s="7">
        <v>46122</v>
      </c>
      <c r="I241" s="7">
        <v>46146</v>
      </c>
      <c r="J241" t="s">
        <v>2553</v>
      </c>
      <c r="K241" t="str">
        <f t="shared" si="15"/>
        <v>Gold Desk Lamp (S)</v>
      </c>
      <c r="L241" t="str">
        <f t="shared" si="12"/>
        <v>Liam</v>
      </c>
      <c r="M241" t="str">
        <f>SUBSTITUTE(Table1[[#This Row],[Raw_Address]], ", ", " - ")</f>
        <v>Las Vegas - NV</v>
      </c>
      <c r="N241" t="str">
        <f t="shared" si="13"/>
        <v>Q2-2026</v>
      </c>
      <c r="O241" t="str">
        <f t="shared" si="14"/>
        <v>INV/00238/APR</v>
      </c>
    </row>
    <row r="242" spans="1:15" x14ac:dyDescent="0.35">
      <c r="A242" s="3" t="s">
        <v>1845</v>
      </c>
      <c r="B242" s="3" t="s">
        <v>1464</v>
      </c>
      <c r="C242" s="3" t="s">
        <v>18</v>
      </c>
      <c r="D242" s="3" t="s">
        <v>1454</v>
      </c>
      <c r="E242" s="3" t="s">
        <v>1563</v>
      </c>
      <c r="F242" t="s">
        <v>1585</v>
      </c>
      <c r="G242" t="s">
        <v>1533</v>
      </c>
      <c r="H242" s="7">
        <v>46218</v>
      </c>
      <c r="I242" s="7">
        <v>46245</v>
      </c>
      <c r="J242" t="s">
        <v>2554</v>
      </c>
      <c r="K242" t="str">
        <f t="shared" si="15"/>
        <v>White Notebook (L)</v>
      </c>
      <c r="L242" t="str">
        <f t="shared" si="12"/>
        <v>Elijah</v>
      </c>
      <c r="M242" t="str">
        <f>SUBSTITUTE(Table1[[#This Row],[Raw_Address]], ", ", " - ")</f>
        <v>Chicago - IL</v>
      </c>
      <c r="N242" t="str">
        <f t="shared" si="13"/>
        <v>Q3-2026</v>
      </c>
      <c r="O242" t="str">
        <f t="shared" si="14"/>
        <v>INV/00239/JUL</v>
      </c>
    </row>
    <row r="243" spans="1:15" x14ac:dyDescent="0.35">
      <c r="A243" s="3" t="s">
        <v>1846</v>
      </c>
      <c r="B243" s="3" t="s">
        <v>1474</v>
      </c>
      <c r="C243" s="3" t="s">
        <v>1431</v>
      </c>
      <c r="D243" s="3" t="s">
        <v>1465</v>
      </c>
      <c r="E243" s="3" t="s">
        <v>1566</v>
      </c>
      <c r="F243" t="s">
        <v>1587</v>
      </c>
      <c r="G243" t="s">
        <v>1537</v>
      </c>
      <c r="H243" s="7">
        <v>46315</v>
      </c>
      <c r="I243" s="7">
        <v>46345</v>
      </c>
      <c r="J243" t="s">
        <v>2555</v>
      </c>
      <c r="K243" t="str">
        <f t="shared" si="15"/>
        <v>Gold Power Bank (XS)</v>
      </c>
      <c r="L243" t="str">
        <f t="shared" si="12"/>
        <v>Lucas</v>
      </c>
      <c r="M243" t="str">
        <f>SUBSTITUTE(Table1[[#This Row],[Raw_Address]], ", ", " - ")</f>
        <v>Detroit - MI</v>
      </c>
      <c r="N243" t="str">
        <f t="shared" si="13"/>
        <v>Q4-2026</v>
      </c>
      <c r="O243" t="str">
        <f t="shared" si="14"/>
        <v>INV/00240/OCT</v>
      </c>
    </row>
    <row r="244" spans="1:15" x14ac:dyDescent="0.35">
      <c r="A244" s="3" t="s">
        <v>1847</v>
      </c>
      <c r="B244" s="3" t="s">
        <v>1419</v>
      </c>
      <c r="C244" s="3" t="s">
        <v>18</v>
      </c>
      <c r="D244" s="3" t="s">
        <v>1420</v>
      </c>
      <c r="E244" s="3" t="s">
        <v>1421</v>
      </c>
      <c r="F244" t="s">
        <v>1589</v>
      </c>
      <c r="G244" t="s">
        <v>1423</v>
      </c>
      <c r="H244" s="7">
        <v>46047</v>
      </c>
      <c r="I244" s="7">
        <v>46050</v>
      </c>
      <c r="J244" t="s">
        <v>2550</v>
      </c>
      <c r="K244" t="str">
        <f t="shared" si="15"/>
        <v>White Tablet (M)</v>
      </c>
      <c r="L244" t="str">
        <f t="shared" si="12"/>
        <v>Ethan</v>
      </c>
      <c r="M244" t="str">
        <f>SUBSTITUTE(Table1[[#This Row],[Raw_Address]], ", ", " - ")</f>
        <v>Boston - MA</v>
      </c>
      <c r="N244" t="str">
        <f t="shared" si="13"/>
        <v>Q1-2026</v>
      </c>
      <c r="O244" t="str">
        <f t="shared" si="14"/>
        <v>INV/00241/JAN</v>
      </c>
    </row>
    <row r="245" spans="1:15" x14ac:dyDescent="0.35">
      <c r="A245" s="3" t="s">
        <v>1848</v>
      </c>
      <c r="B245" s="3" t="s">
        <v>1430</v>
      </c>
      <c r="C245" s="3" t="s">
        <v>1431</v>
      </c>
      <c r="D245" s="3" t="s">
        <v>1432</v>
      </c>
      <c r="E245" s="3" t="s">
        <v>1433</v>
      </c>
      <c r="F245" t="s">
        <v>1591</v>
      </c>
      <c r="G245" t="s">
        <v>1435</v>
      </c>
      <c r="H245" s="7">
        <v>46114</v>
      </c>
      <c r="I245" s="7">
        <v>46120</v>
      </c>
      <c r="J245" t="s">
        <v>2551</v>
      </c>
      <c r="K245" t="str">
        <f t="shared" si="15"/>
        <v>Gold Mouse (XL)</v>
      </c>
      <c r="L245" t="str">
        <f t="shared" si="12"/>
        <v>Evelyn</v>
      </c>
      <c r="M245" t="str">
        <f>SUBSTITUTE(Table1[[#This Row],[Raw_Address]], ", ", " - ")</f>
        <v>Columbus - OH</v>
      </c>
      <c r="N245" t="str">
        <f t="shared" si="13"/>
        <v>Q2-2026</v>
      </c>
      <c r="O245" t="str">
        <f t="shared" si="14"/>
        <v>INV/00242/APR</v>
      </c>
    </row>
    <row r="246" spans="1:15" x14ac:dyDescent="0.35">
      <c r="A246" s="3" t="s">
        <v>1849</v>
      </c>
      <c r="B246" s="3" t="s">
        <v>1442</v>
      </c>
      <c r="C246" s="3" t="s">
        <v>18</v>
      </c>
      <c r="D246" s="3" t="s">
        <v>1443</v>
      </c>
      <c r="E246" s="3" t="s">
        <v>1444</v>
      </c>
      <c r="F246" t="s">
        <v>1593</v>
      </c>
      <c r="G246" t="s">
        <v>1446</v>
      </c>
      <c r="H246" s="7">
        <v>46210</v>
      </c>
      <c r="I246" s="7">
        <v>46219</v>
      </c>
      <c r="J246" t="s">
        <v>2552</v>
      </c>
      <c r="K246" t="str">
        <f t="shared" si="15"/>
        <v>White Camera (S)</v>
      </c>
      <c r="L246" t="str">
        <f t="shared" si="12"/>
        <v>Scarlett</v>
      </c>
      <c r="M246" t="str">
        <f>SUBSTITUTE(Table1[[#This Row],[Raw_Address]], ", ", " - ")</f>
        <v>Denver - CO</v>
      </c>
      <c r="N246" t="str">
        <f t="shared" si="13"/>
        <v>Q3-2026</v>
      </c>
      <c r="O246" t="str">
        <f t="shared" si="14"/>
        <v>INV/00243/JUL</v>
      </c>
    </row>
    <row r="247" spans="1:15" x14ac:dyDescent="0.35">
      <c r="A247" s="3" t="s">
        <v>1850</v>
      </c>
      <c r="B247" s="3" t="s">
        <v>1453</v>
      </c>
      <c r="C247" s="3" t="s">
        <v>1431</v>
      </c>
      <c r="D247" s="3" t="s">
        <v>1454</v>
      </c>
      <c r="E247" s="3" t="s">
        <v>1455</v>
      </c>
      <c r="F247" t="s">
        <v>1595</v>
      </c>
      <c r="G247" t="s">
        <v>1457</v>
      </c>
      <c r="H247" s="7">
        <v>46307</v>
      </c>
      <c r="I247" s="7">
        <v>46319</v>
      </c>
      <c r="J247" t="s">
        <v>2553</v>
      </c>
      <c r="K247" t="str">
        <f t="shared" si="15"/>
        <v>Gold Desk Lamp (L)</v>
      </c>
      <c r="L247" t="str">
        <f t="shared" si="12"/>
        <v>Sofia</v>
      </c>
      <c r="M247" t="str">
        <f>SUBSTITUTE(Table1[[#This Row],[Raw_Address]], ", ", " - ")</f>
        <v>Dallas - TX</v>
      </c>
      <c r="N247" t="str">
        <f t="shared" si="13"/>
        <v>Q4-2026</v>
      </c>
      <c r="O247" t="str">
        <f t="shared" si="14"/>
        <v>INV/00244/OCT</v>
      </c>
    </row>
    <row r="248" spans="1:15" x14ac:dyDescent="0.35">
      <c r="A248" s="3" t="s">
        <v>1851</v>
      </c>
      <c r="B248" s="3" t="s">
        <v>1464</v>
      </c>
      <c r="C248" s="3" t="s">
        <v>18</v>
      </c>
      <c r="D248" s="3" t="s">
        <v>1465</v>
      </c>
      <c r="E248" s="3" t="s">
        <v>1466</v>
      </c>
      <c r="F248" t="s">
        <v>1597</v>
      </c>
      <c r="G248" t="s">
        <v>1468</v>
      </c>
      <c r="H248" s="7">
        <v>46039</v>
      </c>
      <c r="I248" s="7">
        <v>46054</v>
      </c>
      <c r="J248" t="s">
        <v>2554</v>
      </c>
      <c r="K248" t="str">
        <f t="shared" si="15"/>
        <v>White Notebook (XS)</v>
      </c>
      <c r="L248" t="str">
        <f t="shared" si="12"/>
        <v>Priya</v>
      </c>
      <c r="M248" t="str">
        <f>SUBSTITUTE(Table1[[#This Row],[Raw_Address]], ", ", " - ")</f>
        <v>Seattle - WA</v>
      </c>
      <c r="N248" t="str">
        <f t="shared" si="13"/>
        <v>Q1-2026</v>
      </c>
      <c r="O248" t="str">
        <f t="shared" si="14"/>
        <v>INV/00245/JAN</v>
      </c>
    </row>
    <row r="249" spans="1:15" x14ac:dyDescent="0.35">
      <c r="A249" s="3" t="s">
        <v>1852</v>
      </c>
      <c r="B249" s="3" t="s">
        <v>1474</v>
      </c>
      <c r="C249" s="3" t="s">
        <v>1431</v>
      </c>
      <c r="D249" s="3" t="s">
        <v>1420</v>
      </c>
      <c r="E249" s="3" t="s">
        <v>1475</v>
      </c>
      <c r="F249" t="s">
        <v>1599</v>
      </c>
      <c r="G249" t="s">
        <v>1477</v>
      </c>
      <c r="H249" s="7">
        <v>46134</v>
      </c>
      <c r="I249" s="7">
        <v>46152</v>
      </c>
      <c r="J249" t="s">
        <v>2555</v>
      </c>
      <c r="K249" t="str">
        <f t="shared" si="15"/>
        <v>Gold Power Bank (M)</v>
      </c>
      <c r="L249" t="str">
        <f t="shared" si="12"/>
        <v>Kabir</v>
      </c>
      <c r="M249" t="str">
        <f>SUBSTITUTE(Table1[[#This Row],[Raw_Address]], ", ", " - ")</f>
        <v>Nashville - TN</v>
      </c>
      <c r="N249" t="str">
        <f t="shared" si="13"/>
        <v>Q2-2026</v>
      </c>
      <c r="O249" t="str">
        <f t="shared" si="14"/>
        <v>INV/00246/APR</v>
      </c>
    </row>
    <row r="250" spans="1:15" x14ac:dyDescent="0.35">
      <c r="A250" s="3" t="s">
        <v>1853</v>
      </c>
      <c r="B250" s="3" t="s">
        <v>1419</v>
      </c>
      <c r="C250" s="3" t="s">
        <v>18</v>
      </c>
      <c r="D250" s="3" t="s">
        <v>1432</v>
      </c>
      <c r="E250" s="3" t="s">
        <v>1483</v>
      </c>
      <c r="F250" t="s">
        <v>1601</v>
      </c>
      <c r="G250" t="s">
        <v>1485</v>
      </c>
      <c r="H250" s="7">
        <v>46230</v>
      </c>
      <c r="I250" s="7">
        <v>46251</v>
      </c>
      <c r="J250" t="s">
        <v>2550</v>
      </c>
      <c r="K250" t="str">
        <f t="shared" si="15"/>
        <v>White Tablet (XL)</v>
      </c>
      <c r="L250" t="str">
        <f t="shared" si="12"/>
        <v>Fatima</v>
      </c>
      <c r="M250" t="str">
        <f>SUBSTITUTE(Table1[[#This Row],[Raw_Address]], ", ", " - ")</f>
        <v>Minneapolis - MN</v>
      </c>
      <c r="N250" t="str">
        <f t="shared" si="13"/>
        <v>Q3-2026</v>
      </c>
      <c r="O250" t="str">
        <f t="shared" si="14"/>
        <v>INV/00247/JUL</v>
      </c>
    </row>
    <row r="251" spans="1:15" x14ac:dyDescent="0.35">
      <c r="A251" s="3" t="s">
        <v>1854</v>
      </c>
      <c r="B251" s="3" t="s">
        <v>1430</v>
      </c>
      <c r="C251" s="3" t="s">
        <v>1431</v>
      </c>
      <c r="D251" s="3" t="s">
        <v>1443</v>
      </c>
      <c r="E251" s="3" t="s">
        <v>1487</v>
      </c>
      <c r="F251" t="s">
        <v>1603</v>
      </c>
      <c r="G251" t="s">
        <v>1489</v>
      </c>
      <c r="H251" s="7">
        <v>46299</v>
      </c>
      <c r="I251" s="7">
        <v>46323</v>
      </c>
      <c r="J251" t="s">
        <v>2551</v>
      </c>
      <c r="K251" t="str">
        <f t="shared" si="15"/>
        <v>Gold Mouse (S)</v>
      </c>
      <c r="L251" t="str">
        <f t="shared" si="12"/>
        <v>Grace</v>
      </c>
      <c r="M251" t="str">
        <f>SUBSTITUTE(Table1[[#This Row],[Raw_Address]], ", ", " - ")</f>
        <v>Atlanta - GA</v>
      </c>
      <c r="N251" t="str">
        <f t="shared" si="13"/>
        <v>Q4-2026</v>
      </c>
      <c r="O251" t="str">
        <f t="shared" si="14"/>
        <v>INV/00248/OCT</v>
      </c>
    </row>
    <row r="252" spans="1:15" x14ac:dyDescent="0.35">
      <c r="A252" s="3" t="s">
        <v>1855</v>
      </c>
      <c r="B252" s="3" t="s">
        <v>1442</v>
      </c>
      <c r="C252" s="3" t="s">
        <v>18</v>
      </c>
      <c r="D252" s="3" t="s">
        <v>1454</v>
      </c>
      <c r="E252" s="3" t="s">
        <v>1491</v>
      </c>
      <c r="F252" t="s">
        <v>1605</v>
      </c>
      <c r="G252" t="s">
        <v>1493</v>
      </c>
      <c r="H252" s="7">
        <v>46031</v>
      </c>
      <c r="I252" s="7">
        <v>46058</v>
      </c>
      <c r="J252" t="s">
        <v>2552</v>
      </c>
      <c r="K252" t="str">
        <f t="shared" si="15"/>
        <v>White Camera (L)</v>
      </c>
      <c r="L252" t="str">
        <f t="shared" si="12"/>
        <v>David</v>
      </c>
      <c r="M252" t="str">
        <f>SUBSTITUTE(Table1[[#This Row],[Raw_Address]], ", ", " - ")</f>
        <v>Tampa - FL</v>
      </c>
      <c r="N252" t="str">
        <f t="shared" si="13"/>
        <v>Q1-2026</v>
      </c>
      <c r="O252" t="str">
        <f t="shared" si="14"/>
        <v>INV/00249/JAN</v>
      </c>
    </row>
    <row r="253" spans="1:15" x14ac:dyDescent="0.35">
      <c r="A253" s="3" t="s">
        <v>1856</v>
      </c>
      <c r="B253" s="3" t="s">
        <v>1453</v>
      </c>
      <c r="C253" s="3" t="s">
        <v>1431</v>
      </c>
      <c r="D253" s="3" t="s">
        <v>1465</v>
      </c>
      <c r="E253" s="3" t="s">
        <v>1495</v>
      </c>
      <c r="F253" t="s">
        <v>1607</v>
      </c>
      <c r="G253" t="s">
        <v>1497</v>
      </c>
      <c r="H253" s="7">
        <v>46126</v>
      </c>
      <c r="I253" s="7">
        <v>46156</v>
      </c>
      <c r="J253" t="s">
        <v>2553</v>
      </c>
      <c r="K253" t="str">
        <f t="shared" si="15"/>
        <v>Gold Desk Lamp (XS)</v>
      </c>
      <c r="L253" t="str">
        <f t="shared" si="12"/>
        <v>Anaya</v>
      </c>
      <c r="M253" t="str">
        <f>SUBSTITUTE(Table1[[#This Row],[Raw_Address]], ", ", " - ")</f>
        <v>Phoenix - AZ</v>
      </c>
      <c r="N253" t="str">
        <f t="shared" si="13"/>
        <v>Q2-2026</v>
      </c>
      <c r="O253" t="str">
        <f t="shared" si="14"/>
        <v>INV/00250/APR</v>
      </c>
    </row>
    <row r="254" spans="1:15" x14ac:dyDescent="0.35">
      <c r="A254" s="3" t="s">
        <v>1857</v>
      </c>
      <c r="B254" s="3" t="s">
        <v>1464</v>
      </c>
      <c r="C254" s="3" t="s">
        <v>18</v>
      </c>
      <c r="D254" s="3" t="s">
        <v>1420</v>
      </c>
      <c r="E254" s="3" t="s">
        <v>1499</v>
      </c>
      <c r="F254" t="s">
        <v>1609</v>
      </c>
      <c r="G254" t="s">
        <v>1501</v>
      </c>
      <c r="H254" s="7">
        <v>46222</v>
      </c>
      <c r="I254" s="7">
        <v>46225</v>
      </c>
      <c r="J254" t="s">
        <v>2554</v>
      </c>
      <c r="K254" t="str">
        <f t="shared" si="15"/>
        <v>White Notebook (M)</v>
      </c>
      <c r="L254" t="str">
        <f t="shared" si="12"/>
        <v>Emma</v>
      </c>
      <c r="M254" t="str">
        <f>SUBSTITUTE(Table1[[#This Row],[Raw_Address]], ", ", " - ")</f>
        <v>Raleigh - NC</v>
      </c>
      <c r="N254" t="str">
        <f t="shared" si="13"/>
        <v>Q3-2026</v>
      </c>
      <c r="O254" t="str">
        <f t="shared" si="14"/>
        <v>INV/00251/JUL</v>
      </c>
    </row>
    <row r="255" spans="1:15" x14ac:dyDescent="0.35">
      <c r="A255" s="3" t="s">
        <v>1858</v>
      </c>
      <c r="B255" s="3" t="s">
        <v>1474</v>
      </c>
      <c r="C255" s="3" t="s">
        <v>1431</v>
      </c>
      <c r="D255" s="3" t="s">
        <v>1432</v>
      </c>
      <c r="E255" s="3" t="s">
        <v>1503</v>
      </c>
      <c r="F255" t="s">
        <v>1611</v>
      </c>
      <c r="G255" t="s">
        <v>1505</v>
      </c>
      <c r="H255" s="7">
        <v>46319</v>
      </c>
      <c r="I255" s="7">
        <v>46325</v>
      </c>
      <c r="J255" t="s">
        <v>2555</v>
      </c>
      <c r="K255" t="str">
        <f t="shared" si="15"/>
        <v>Gold Power Bank (XL)</v>
      </c>
      <c r="L255" t="str">
        <f t="shared" si="12"/>
        <v>Mason</v>
      </c>
      <c r="M255" t="str">
        <f>SUBSTITUTE(Table1[[#This Row],[Raw_Address]], ", ", " - ")</f>
        <v>Miami - FL</v>
      </c>
      <c r="N255" t="str">
        <f t="shared" si="13"/>
        <v>Q4-2026</v>
      </c>
      <c r="O255" t="str">
        <f t="shared" si="14"/>
        <v>INV/00252/OCT</v>
      </c>
    </row>
    <row r="256" spans="1:15" x14ac:dyDescent="0.35">
      <c r="A256" s="3" t="s">
        <v>1859</v>
      </c>
      <c r="B256" s="3" t="s">
        <v>1419</v>
      </c>
      <c r="C256" s="3" t="s">
        <v>18</v>
      </c>
      <c r="D256" s="3" t="s">
        <v>1443</v>
      </c>
      <c r="E256" s="3" t="s">
        <v>1507</v>
      </c>
      <c r="F256" t="s">
        <v>1613</v>
      </c>
      <c r="G256" t="s">
        <v>1509</v>
      </c>
      <c r="H256" s="7">
        <v>46023</v>
      </c>
      <c r="I256" s="7">
        <v>46032</v>
      </c>
      <c r="J256" t="s">
        <v>2550</v>
      </c>
      <c r="K256" t="str">
        <f t="shared" si="15"/>
        <v>White Tablet (S)</v>
      </c>
      <c r="L256" t="str">
        <f t="shared" si="12"/>
        <v>Amelia</v>
      </c>
      <c r="M256" t="str">
        <f>SUBSTITUTE(Table1[[#This Row],[Raw_Address]], ", ", " - ")</f>
        <v>Charlotte - NC</v>
      </c>
      <c r="N256" t="str">
        <f t="shared" si="13"/>
        <v>Q1-2026</v>
      </c>
      <c r="O256" t="str">
        <f t="shared" si="14"/>
        <v>INV/00253/JAN</v>
      </c>
    </row>
    <row r="257" spans="1:15" x14ac:dyDescent="0.35">
      <c r="A257" s="3" t="s">
        <v>1860</v>
      </c>
      <c r="B257" s="3" t="s">
        <v>1430</v>
      </c>
      <c r="C257" s="3" t="s">
        <v>1431</v>
      </c>
      <c r="D257" s="3" t="s">
        <v>1454</v>
      </c>
      <c r="E257" s="3" t="s">
        <v>1511</v>
      </c>
      <c r="F257" t="s">
        <v>1615</v>
      </c>
      <c r="G257" t="s">
        <v>1513</v>
      </c>
      <c r="H257" s="7">
        <v>46118</v>
      </c>
      <c r="I257" s="7">
        <v>46130</v>
      </c>
      <c r="J257" t="s">
        <v>2551</v>
      </c>
      <c r="K257" t="str">
        <f t="shared" si="15"/>
        <v>Gold Mouse (L)</v>
      </c>
      <c r="L257" t="str">
        <f t="shared" si="12"/>
        <v>Charlotte</v>
      </c>
      <c r="M257" t="str">
        <f>SUBSTITUTE(Table1[[#This Row],[Raw_Address]], ", ", " - ")</f>
        <v>Austin - TX</v>
      </c>
      <c r="N257" t="str">
        <f t="shared" si="13"/>
        <v>Q2-2026</v>
      </c>
      <c r="O257" t="str">
        <f t="shared" si="14"/>
        <v>INV/00254/APR</v>
      </c>
    </row>
    <row r="258" spans="1:15" x14ac:dyDescent="0.35">
      <c r="A258" s="3" t="s">
        <v>1861</v>
      </c>
      <c r="B258" s="3" t="s">
        <v>1442</v>
      </c>
      <c r="C258" s="3" t="s">
        <v>18</v>
      </c>
      <c r="D258" s="3" t="s">
        <v>1465</v>
      </c>
      <c r="E258" s="3" t="s">
        <v>1515</v>
      </c>
      <c r="F258" t="s">
        <v>1617</v>
      </c>
      <c r="G258" t="s">
        <v>1517</v>
      </c>
      <c r="H258" s="7">
        <v>46214</v>
      </c>
      <c r="I258" s="7">
        <v>46229</v>
      </c>
      <c r="J258" t="s">
        <v>2552</v>
      </c>
      <c r="K258" t="str">
        <f t="shared" si="15"/>
        <v>White Camera (XS)</v>
      </c>
      <c r="L258" t="str">
        <f t="shared" si="12"/>
        <v>Henry</v>
      </c>
      <c r="M258" t="str">
        <f>SUBSTITUTE(Table1[[#This Row],[Raw_Address]], ", ", " - ")</f>
        <v>San Diego - CA</v>
      </c>
      <c r="N258" t="str">
        <f t="shared" si="13"/>
        <v>Q3-2026</v>
      </c>
      <c r="O258" t="str">
        <f t="shared" si="14"/>
        <v>INV/00255/JUL</v>
      </c>
    </row>
    <row r="259" spans="1:15" x14ac:dyDescent="0.35">
      <c r="A259" s="3" t="s">
        <v>1862</v>
      </c>
      <c r="B259" s="3" t="s">
        <v>1453</v>
      </c>
      <c r="C259" s="3" t="s">
        <v>1431</v>
      </c>
      <c r="D259" s="3" t="s">
        <v>1420</v>
      </c>
      <c r="E259" s="3" t="s">
        <v>1519</v>
      </c>
      <c r="F259" t="s">
        <v>1619</v>
      </c>
      <c r="G259" t="s">
        <v>1521</v>
      </c>
      <c r="H259" s="7">
        <v>46311</v>
      </c>
      <c r="I259" s="7">
        <v>46329</v>
      </c>
      <c r="J259" t="s">
        <v>2553</v>
      </c>
      <c r="K259" t="str">
        <f t="shared" si="15"/>
        <v>Gold Desk Lamp (M)</v>
      </c>
      <c r="L259" t="str">
        <f t="shared" si="12"/>
        <v>Michael</v>
      </c>
      <c r="M259" t="str">
        <f>SUBSTITUTE(Table1[[#This Row],[Raw_Address]], ", ", " - ")</f>
        <v>Kansas City - MO</v>
      </c>
      <c r="N259" t="str">
        <f t="shared" si="13"/>
        <v>Q4-2026</v>
      </c>
      <c r="O259" t="str">
        <f t="shared" si="14"/>
        <v>INV/00256/OCT</v>
      </c>
    </row>
    <row r="260" spans="1:15" x14ac:dyDescent="0.35">
      <c r="A260" s="3" t="s">
        <v>1863</v>
      </c>
      <c r="B260" s="3" t="s">
        <v>1464</v>
      </c>
      <c r="C260" s="3" t="s">
        <v>18</v>
      </c>
      <c r="D260" s="3" t="s">
        <v>1432</v>
      </c>
      <c r="E260" s="3" t="s">
        <v>1523</v>
      </c>
      <c r="F260" t="s">
        <v>1621</v>
      </c>
      <c r="G260" t="s">
        <v>1525</v>
      </c>
      <c r="H260" s="7">
        <v>46043</v>
      </c>
      <c r="I260" s="7">
        <v>46064</v>
      </c>
      <c r="J260" t="s">
        <v>2554</v>
      </c>
      <c r="K260" t="str">
        <f t="shared" si="15"/>
        <v>White Notebook (XL)</v>
      </c>
      <c r="L260" t="str">
        <f t="shared" si="12"/>
        <v>Mateo</v>
      </c>
      <c r="M260" t="str">
        <f>SUBSTITUTE(Table1[[#This Row],[Raw_Address]], ", ", " - ")</f>
        <v>Portland - OR</v>
      </c>
      <c r="N260" t="str">
        <f t="shared" si="13"/>
        <v>Q1-2026</v>
      </c>
      <c r="O260" t="str">
        <f t="shared" si="14"/>
        <v>INV/00257/JAN</v>
      </c>
    </row>
    <row r="261" spans="1:15" x14ac:dyDescent="0.35">
      <c r="A261" s="3" t="s">
        <v>1864</v>
      </c>
      <c r="B261" s="3" t="s">
        <v>1474</v>
      </c>
      <c r="C261" s="3" t="s">
        <v>1431</v>
      </c>
      <c r="D261" s="3" t="s">
        <v>1443</v>
      </c>
      <c r="E261" s="3" t="s">
        <v>1527</v>
      </c>
      <c r="F261" t="s">
        <v>1623</v>
      </c>
      <c r="G261" t="s">
        <v>1529</v>
      </c>
      <c r="H261" s="7">
        <v>46138</v>
      </c>
      <c r="I261" s="7">
        <v>46162</v>
      </c>
      <c r="J261" t="s">
        <v>2555</v>
      </c>
      <c r="K261" t="str">
        <f t="shared" si="15"/>
        <v>Gold Power Bank (S)</v>
      </c>
      <c r="L261" t="str">
        <f t="shared" si="12"/>
        <v>Sana</v>
      </c>
      <c r="M261" t="str">
        <f>SUBSTITUTE(Table1[[#This Row],[Raw_Address]], ", ", " - ")</f>
        <v>Las Vegas - NV</v>
      </c>
      <c r="N261" t="str">
        <f t="shared" si="13"/>
        <v>Q2-2026</v>
      </c>
      <c r="O261" t="str">
        <f t="shared" si="14"/>
        <v>INV/00258/APR</v>
      </c>
    </row>
    <row r="262" spans="1:15" x14ac:dyDescent="0.35">
      <c r="A262" s="3" t="s">
        <v>1865</v>
      </c>
      <c r="B262" s="3" t="s">
        <v>1419</v>
      </c>
      <c r="C262" s="3" t="s">
        <v>18</v>
      </c>
      <c r="D262" s="3" t="s">
        <v>1454</v>
      </c>
      <c r="E262" s="3" t="s">
        <v>1531</v>
      </c>
      <c r="F262" t="s">
        <v>1625</v>
      </c>
      <c r="G262" t="s">
        <v>1533</v>
      </c>
      <c r="H262" s="7">
        <v>46206</v>
      </c>
      <c r="I262" s="7">
        <v>46233</v>
      </c>
      <c r="J262" t="s">
        <v>2550</v>
      </c>
      <c r="K262" t="str">
        <f t="shared" si="15"/>
        <v>White Tablet (L)</v>
      </c>
      <c r="L262" t="str">
        <f t="shared" si="12"/>
        <v>Omar</v>
      </c>
      <c r="M262" t="str">
        <f>SUBSTITUTE(Table1[[#This Row],[Raw_Address]], ", ", " - ")</f>
        <v>Chicago - IL</v>
      </c>
      <c r="N262" t="str">
        <f t="shared" si="13"/>
        <v>Q3-2026</v>
      </c>
      <c r="O262" t="str">
        <f t="shared" si="14"/>
        <v>INV/00259/JUL</v>
      </c>
    </row>
    <row r="263" spans="1:15" x14ac:dyDescent="0.35">
      <c r="A263" s="3" t="s">
        <v>1866</v>
      </c>
      <c r="B263" s="3" t="s">
        <v>1430</v>
      </c>
      <c r="C263" s="3" t="s">
        <v>1431</v>
      </c>
      <c r="D263" s="3" t="s">
        <v>1465</v>
      </c>
      <c r="E263" s="3" t="s">
        <v>1535</v>
      </c>
      <c r="F263" t="s">
        <v>1627</v>
      </c>
      <c r="G263" t="s">
        <v>1537</v>
      </c>
      <c r="H263" s="7">
        <v>46303</v>
      </c>
      <c r="I263" s="7">
        <v>46333</v>
      </c>
      <c r="J263" t="s">
        <v>2551</v>
      </c>
      <c r="K263" t="str">
        <f t="shared" si="15"/>
        <v>Gold Mouse (XS)</v>
      </c>
      <c r="L263" t="str">
        <f t="shared" si="12"/>
        <v>Nina</v>
      </c>
      <c r="M263" t="str">
        <f>SUBSTITUTE(Table1[[#This Row],[Raw_Address]], ", ", " - ")</f>
        <v>Detroit - MI</v>
      </c>
      <c r="N263" t="str">
        <f t="shared" si="13"/>
        <v>Q4-2026</v>
      </c>
      <c r="O263" t="str">
        <f t="shared" si="14"/>
        <v>INV/00260/OCT</v>
      </c>
    </row>
    <row r="264" spans="1:15" x14ac:dyDescent="0.35">
      <c r="A264" s="3" t="s">
        <v>1867</v>
      </c>
      <c r="B264" s="3" t="s">
        <v>1442</v>
      </c>
      <c r="C264" s="3" t="s">
        <v>18</v>
      </c>
      <c r="D264" s="3" t="s">
        <v>1420</v>
      </c>
      <c r="E264" s="3" t="s">
        <v>1539</v>
      </c>
      <c r="F264" t="s">
        <v>1629</v>
      </c>
      <c r="G264" t="s">
        <v>1423</v>
      </c>
      <c r="H264" s="7">
        <v>46035</v>
      </c>
      <c r="I264" s="7">
        <v>46038</v>
      </c>
      <c r="J264" t="s">
        <v>2552</v>
      </c>
      <c r="K264" t="str">
        <f t="shared" si="15"/>
        <v>White Camera (M)</v>
      </c>
      <c r="L264" t="str">
        <f t="shared" si="12"/>
        <v>Jack</v>
      </c>
      <c r="M264" t="str">
        <f>SUBSTITUTE(Table1[[#This Row],[Raw_Address]], ", ", " - ")</f>
        <v>Boston - MA</v>
      </c>
      <c r="N264" t="str">
        <f t="shared" si="13"/>
        <v>Q1-2026</v>
      </c>
      <c r="O264" t="str">
        <f t="shared" si="14"/>
        <v>INV/00261/JAN</v>
      </c>
    </row>
    <row r="265" spans="1:15" x14ac:dyDescent="0.35">
      <c r="A265" s="3" t="s">
        <v>1868</v>
      </c>
      <c r="B265" s="3" t="s">
        <v>1453</v>
      </c>
      <c r="C265" s="3" t="s">
        <v>1431</v>
      </c>
      <c r="D265" s="3" t="s">
        <v>1432</v>
      </c>
      <c r="E265" s="3" t="s">
        <v>1542</v>
      </c>
      <c r="F265" t="s">
        <v>1631</v>
      </c>
      <c r="G265" t="s">
        <v>1435</v>
      </c>
      <c r="H265" s="7">
        <v>46130</v>
      </c>
      <c r="I265" s="7">
        <v>46136</v>
      </c>
      <c r="J265" t="s">
        <v>2553</v>
      </c>
      <c r="K265" t="str">
        <f t="shared" si="15"/>
        <v>Gold Desk Lamp (XL)</v>
      </c>
      <c r="L265" t="str">
        <f t="shared" si="12"/>
        <v>Victor</v>
      </c>
      <c r="M265" t="str">
        <f>SUBSTITUTE(Table1[[#This Row],[Raw_Address]], ", ", " - ")</f>
        <v>Columbus - OH</v>
      </c>
      <c r="N265" t="str">
        <f t="shared" si="13"/>
        <v>Q2-2026</v>
      </c>
      <c r="O265" t="str">
        <f t="shared" si="14"/>
        <v>INV/00262/APR</v>
      </c>
    </row>
    <row r="266" spans="1:15" x14ac:dyDescent="0.35">
      <c r="A266" s="3" t="s">
        <v>1869</v>
      </c>
      <c r="B266" s="3" t="s">
        <v>1464</v>
      </c>
      <c r="C266" s="3" t="s">
        <v>18</v>
      </c>
      <c r="D266" s="3" t="s">
        <v>1443</v>
      </c>
      <c r="E266" s="3" t="s">
        <v>1545</v>
      </c>
      <c r="F266" t="s">
        <v>1633</v>
      </c>
      <c r="G266" t="s">
        <v>1446</v>
      </c>
      <c r="H266" s="7">
        <v>46226</v>
      </c>
      <c r="I266" s="7">
        <v>46235</v>
      </c>
      <c r="J266" t="s">
        <v>2554</v>
      </c>
      <c r="K266" t="str">
        <f t="shared" si="15"/>
        <v>White Notebook (S)</v>
      </c>
      <c r="L266" t="str">
        <f t="shared" si="12"/>
        <v>Liam</v>
      </c>
      <c r="M266" t="str">
        <f>SUBSTITUTE(Table1[[#This Row],[Raw_Address]], ", ", " - ")</f>
        <v>Denver - CO</v>
      </c>
      <c r="N266" t="str">
        <f t="shared" si="13"/>
        <v>Q3-2026</v>
      </c>
      <c r="O266" t="str">
        <f t="shared" si="14"/>
        <v>INV/00263/JUL</v>
      </c>
    </row>
    <row r="267" spans="1:15" x14ac:dyDescent="0.35">
      <c r="A267" s="3" t="s">
        <v>1870</v>
      </c>
      <c r="B267" s="3" t="s">
        <v>1474</v>
      </c>
      <c r="C267" s="3" t="s">
        <v>1431</v>
      </c>
      <c r="D267" s="3" t="s">
        <v>1454</v>
      </c>
      <c r="E267" s="3" t="s">
        <v>1548</v>
      </c>
      <c r="F267" t="s">
        <v>1635</v>
      </c>
      <c r="G267" t="s">
        <v>1457</v>
      </c>
      <c r="H267" s="7">
        <v>46323</v>
      </c>
      <c r="I267" s="7">
        <v>46335</v>
      </c>
      <c r="J267" t="s">
        <v>2555</v>
      </c>
      <c r="K267" t="str">
        <f t="shared" si="15"/>
        <v>Gold Power Bank (L)</v>
      </c>
      <c r="L267" t="str">
        <f t="shared" ref="L267:L330" si="16">REPLACE(F267, 1, FIND(", ", F267) + 1, "")</f>
        <v>Elijah</v>
      </c>
      <c r="M267" t="str">
        <f>SUBSTITUTE(Table1[[#This Row],[Raw_Address]], ", ", " - ")</f>
        <v>Dallas - TX</v>
      </c>
      <c r="N267" t="str">
        <f t="shared" ref="N267:N330" si="17">"Q" &amp; ROUNDUP(MONTH(H267)/3, 0) &amp; "-" &amp; YEAR(H267)</f>
        <v>Q4-2026</v>
      </c>
      <c r="O267" t="str">
        <f t="shared" ref="O267:O330" si="18">"INV/" &amp; RIGHT(A267, 5) &amp; "/" &amp; UPPER(TEXT(H267, "mmm"))</f>
        <v>INV/00264/OCT</v>
      </c>
    </row>
    <row r="268" spans="1:15" x14ac:dyDescent="0.35">
      <c r="A268" s="3" t="s">
        <v>1871</v>
      </c>
      <c r="B268" s="3" t="s">
        <v>1419</v>
      </c>
      <c r="C268" s="3" t="s">
        <v>18</v>
      </c>
      <c r="D268" s="3" t="s">
        <v>1465</v>
      </c>
      <c r="E268" s="3" t="s">
        <v>1551</v>
      </c>
      <c r="F268" t="s">
        <v>1637</v>
      </c>
      <c r="G268" t="s">
        <v>1468</v>
      </c>
      <c r="H268" s="7">
        <v>46027</v>
      </c>
      <c r="I268" s="7">
        <v>46042</v>
      </c>
      <c r="J268" t="s">
        <v>2550</v>
      </c>
      <c r="K268" t="str">
        <f t="shared" ref="K268:K331" si="19">C268 &amp; " " &amp; B268 &amp; " (" &amp; D268 &amp; ")"</f>
        <v>White Tablet (XS)</v>
      </c>
      <c r="L268" t="str">
        <f t="shared" si="16"/>
        <v>Lucas</v>
      </c>
      <c r="M268" t="str">
        <f>SUBSTITUTE(Table1[[#This Row],[Raw_Address]], ", ", " - ")</f>
        <v>Seattle - WA</v>
      </c>
      <c r="N268" t="str">
        <f t="shared" si="17"/>
        <v>Q1-2026</v>
      </c>
      <c r="O268" t="str">
        <f t="shared" si="18"/>
        <v>INV/00265/JAN</v>
      </c>
    </row>
    <row r="269" spans="1:15" x14ac:dyDescent="0.35">
      <c r="A269" s="3" t="s">
        <v>1872</v>
      </c>
      <c r="B269" s="3" t="s">
        <v>1430</v>
      </c>
      <c r="C269" s="3" t="s">
        <v>1431</v>
      </c>
      <c r="D269" s="3" t="s">
        <v>1420</v>
      </c>
      <c r="E269" s="3" t="s">
        <v>1554</v>
      </c>
      <c r="F269" t="s">
        <v>1639</v>
      </c>
      <c r="G269" t="s">
        <v>1477</v>
      </c>
      <c r="H269" s="7">
        <v>46122</v>
      </c>
      <c r="I269" s="7">
        <v>46140</v>
      </c>
      <c r="J269" t="s">
        <v>2551</v>
      </c>
      <c r="K269" t="str">
        <f t="shared" si="19"/>
        <v>Gold Mouse (M)</v>
      </c>
      <c r="L269" t="str">
        <f t="shared" si="16"/>
        <v>Ethan</v>
      </c>
      <c r="M269" t="str">
        <f>SUBSTITUTE(Table1[[#This Row],[Raw_Address]], ", ", " - ")</f>
        <v>Nashville - TN</v>
      </c>
      <c r="N269" t="str">
        <f t="shared" si="17"/>
        <v>Q2-2026</v>
      </c>
      <c r="O269" t="str">
        <f t="shared" si="18"/>
        <v>INV/00266/APR</v>
      </c>
    </row>
    <row r="270" spans="1:15" x14ac:dyDescent="0.35">
      <c r="A270" s="3" t="s">
        <v>1873</v>
      </c>
      <c r="B270" s="3" t="s">
        <v>1442</v>
      </c>
      <c r="C270" s="3" t="s">
        <v>18</v>
      </c>
      <c r="D270" s="3" t="s">
        <v>1432</v>
      </c>
      <c r="E270" s="3" t="s">
        <v>1557</v>
      </c>
      <c r="F270" t="s">
        <v>1641</v>
      </c>
      <c r="G270" t="s">
        <v>1485</v>
      </c>
      <c r="H270" s="7">
        <v>46218</v>
      </c>
      <c r="I270" s="7">
        <v>46239</v>
      </c>
      <c r="J270" t="s">
        <v>2552</v>
      </c>
      <c r="K270" t="str">
        <f t="shared" si="19"/>
        <v>White Camera (XL)</v>
      </c>
      <c r="L270" t="str">
        <f t="shared" si="16"/>
        <v>Evelyn</v>
      </c>
      <c r="M270" t="str">
        <f>SUBSTITUTE(Table1[[#This Row],[Raw_Address]], ", ", " - ")</f>
        <v>Minneapolis - MN</v>
      </c>
      <c r="N270" t="str">
        <f t="shared" si="17"/>
        <v>Q3-2026</v>
      </c>
      <c r="O270" t="str">
        <f t="shared" si="18"/>
        <v>INV/00267/JUL</v>
      </c>
    </row>
    <row r="271" spans="1:15" x14ac:dyDescent="0.35">
      <c r="A271" s="3" t="s">
        <v>1874</v>
      </c>
      <c r="B271" s="3" t="s">
        <v>1453</v>
      </c>
      <c r="C271" s="3" t="s">
        <v>1431</v>
      </c>
      <c r="D271" s="3" t="s">
        <v>1443</v>
      </c>
      <c r="E271" s="3" t="s">
        <v>1560</v>
      </c>
      <c r="F271" t="s">
        <v>1643</v>
      </c>
      <c r="G271" t="s">
        <v>1489</v>
      </c>
      <c r="H271" s="7">
        <v>46315</v>
      </c>
      <c r="I271" s="7">
        <v>46339</v>
      </c>
      <c r="J271" t="s">
        <v>2553</v>
      </c>
      <c r="K271" t="str">
        <f t="shared" si="19"/>
        <v>Gold Desk Lamp (S)</v>
      </c>
      <c r="L271" t="str">
        <f t="shared" si="16"/>
        <v>Scarlett</v>
      </c>
      <c r="M271" t="str">
        <f>SUBSTITUTE(Table1[[#This Row],[Raw_Address]], ", ", " - ")</f>
        <v>Atlanta - GA</v>
      </c>
      <c r="N271" t="str">
        <f t="shared" si="17"/>
        <v>Q4-2026</v>
      </c>
      <c r="O271" t="str">
        <f t="shared" si="18"/>
        <v>INV/00268/OCT</v>
      </c>
    </row>
    <row r="272" spans="1:15" x14ac:dyDescent="0.35">
      <c r="A272" s="3" t="s">
        <v>1875</v>
      </c>
      <c r="B272" s="3" t="s">
        <v>1464</v>
      </c>
      <c r="C272" s="3" t="s">
        <v>18</v>
      </c>
      <c r="D272" s="3" t="s">
        <v>1454</v>
      </c>
      <c r="E272" s="3" t="s">
        <v>1563</v>
      </c>
      <c r="F272" t="s">
        <v>1645</v>
      </c>
      <c r="G272" t="s">
        <v>1493</v>
      </c>
      <c r="H272" s="7">
        <v>46047</v>
      </c>
      <c r="I272" s="7">
        <v>46074</v>
      </c>
      <c r="J272" t="s">
        <v>2554</v>
      </c>
      <c r="K272" t="str">
        <f t="shared" si="19"/>
        <v>White Notebook (L)</v>
      </c>
      <c r="L272" t="str">
        <f t="shared" si="16"/>
        <v>Sofia</v>
      </c>
      <c r="M272" t="str">
        <f>SUBSTITUTE(Table1[[#This Row],[Raw_Address]], ", ", " - ")</f>
        <v>Tampa - FL</v>
      </c>
      <c r="N272" t="str">
        <f t="shared" si="17"/>
        <v>Q1-2026</v>
      </c>
      <c r="O272" t="str">
        <f t="shared" si="18"/>
        <v>INV/00269/JAN</v>
      </c>
    </row>
    <row r="273" spans="1:15" x14ac:dyDescent="0.35">
      <c r="A273" s="3" t="s">
        <v>1876</v>
      </c>
      <c r="B273" s="3" t="s">
        <v>1474</v>
      </c>
      <c r="C273" s="3" t="s">
        <v>1431</v>
      </c>
      <c r="D273" s="3" t="s">
        <v>1465</v>
      </c>
      <c r="E273" s="3" t="s">
        <v>1566</v>
      </c>
      <c r="F273" t="s">
        <v>1647</v>
      </c>
      <c r="G273" t="s">
        <v>1497</v>
      </c>
      <c r="H273" s="7">
        <v>46114</v>
      </c>
      <c r="I273" s="7">
        <v>46144</v>
      </c>
      <c r="J273" t="s">
        <v>2555</v>
      </c>
      <c r="K273" t="str">
        <f t="shared" si="19"/>
        <v>Gold Power Bank (XS)</v>
      </c>
      <c r="L273" t="str">
        <f t="shared" si="16"/>
        <v>Priya</v>
      </c>
      <c r="M273" t="str">
        <f>SUBSTITUTE(Table1[[#This Row],[Raw_Address]], ", ", " - ")</f>
        <v>Phoenix - AZ</v>
      </c>
      <c r="N273" t="str">
        <f t="shared" si="17"/>
        <v>Q2-2026</v>
      </c>
      <c r="O273" t="str">
        <f t="shared" si="18"/>
        <v>INV/00270/APR</v>
      </c>
    </row>
    <row r="274" spans="1:15" x14ac:dyDescent="0.35">
      <c r="A274" s="3" t="s">
        <v>1877</v>
      </c>
      <c r="B274" s="3" t="s">
        <v>1419</v>
      </c>
      <c r="C274" s="3" t="s">
        <v>18</v>
      </c>
      <c r="D274" s="3" t="s">
        <v>1420</v>
      </c>
      <c r="E274" s="3" t="s">
        <v>1421</v>
      </c>
      <c r="F274" t="s">
        <v>1649</v>
      </c>
      <c r="G274" t="s">
        <v>1501</v>
      </c>
      <c r="H274" s="7">
        <v>46210</v>
      </c>
      <c r="I274" s="7">
        <v>46213</v>
      </c>
      <c r="J274" t="s">
        <v>2550</v>
      </c>
      <c r="K274" t="str">
        <f t="shared" si="19"/>
        <v>White Tablet (M)</v>
      </c>
      <c r="L274" t="str">
        <f t="shared" si="16"/>
        <v>Kabir</v>
      </c>
      <c r="M274" t="str">
        <f>SUBSTITUTE(Table1[[#This Row],[Raw_Address]], ", ", " - ")</f>
        <v>Raleigh - NC</v>
      </c>
      <c r="N274" t="str">
        <f t="shared" si="17"/>
        <v>Q3-2026</v>
      </c>
      <c r="O274" t="str">
        <f t="shared" si="18"/>
        <v>INV/00271/JUL</v>
      </c>
    </row>
    <row r="275" spans="1:15" x14ac:dyDescent="0.35">
      <c r="A275" s="3" t="s">
        <v>1878</v>
      </c>
      <c r="B275" s="3" t="s">
        <v>1430</v>
      </c>
      <c r="C275" s="3" t="s">
        <v>1431</v>
      </c>
      <c r="D275" s="3" t="s">
        <v>1432</v>
      </c>
      <c r="E275" s="3" t="s">
        <v>1433</v>
      </c>
      <c r="F275" t="s">
        <v>1651</v>
      </c>
      <c r="G275" t="s">
        <v>1505</v>
      </c>
      <c r="H275" s="7">
        <v>46307</v>
      </c>
      <c r="I275" s="7">
        <v>46313</v>
      </c>
      <c r="J275" t="s">
        <v>2551</v>
      </c>
      <c r="K275" t="str">
        <f t="shared" si="19"/>
        <v>Gold Mouse (XL)</v>
      </c>
      <c r="L275" t="str">
        <f t="shared" si="16"/>
        <v>Fatima</v>
      </c>
      <c r="M275" t="str">
        <f>SUBSTITUTE(Table1[[#This Row],[Raw_Address]], ", ", " - ")</f>
        <v>Miami - FL</v>
      </c>
      <c r="N275" t="str">
        <f t="shared" si="17"/>
        <v>Q4-2026</v>
      </c>
      <c r="O275" t="str">
        <f t="shared" si="18"/>
        <v>INV/00272/OCT</v>
      </c>
    </row>
    <row r="276" spans="1:15" x14ac:dyDescent="0.35">
      <c r="A276" s="3" t="s">
        <v>1879</v>
      </c>
      <c r="B276" s="3" t="s">
        <v>1442</v>
      </c>
      <c r="C276" s="3" t="s">
        <v>18</v>
      </c>
      <c r="D276" s="3" t="s">
        <v>1443</v>
      </c>
      <c r="E276" s="3" t="s">
        <v>1444</v>
      </c>
      <c r="F276" t="s">
        <v>1653</v>
      </c>
      <c r="G276" t="s">
        <v>1509</v>
      </c>
      <c r="H276" s="7">
        <v>46039</v>
      </c>
      <c r="I276" s="7">
        <v>46048</v>
      </c>
      <c r="J276" t="s">
        <v>2552</v>
      </c>
      <c r="K276" t="str">
        <f t="shared" si="19"/>
        <v>White Camera (S)</v>
      </c>
      <c r="L276" t="str">
        <f t="shared" si="16"/>
        <v>Grace</v>
      </c>
      <c r="M276" t="str">
        <f>SUBSTITUTE(Table1[[#This Row],[Raw_Address]], ", ", " - ")</f>
        <v>Charlotte - NC</v>
      </c>
      <c r="N276" t="str">
        <f t="shared" si="17"/>
        <v>Q1-2026</v>
      </c>
      <c r="O276" t="str">
        <f t="shared" si="18"/>
        <v>INV/00273/JAN</v>
      </c>
    </row>
    <row r="277" spans="1:15" x14ac:dyDescent="0.35">
      <c r="A277" s="3" t="s">
        <v>1880</v>
      </c>
      <c r="B277" s="3" t="s">
        <v>1453</v>
      </c>
      <c r="C277" s="3" t="s">
        <v>1431</v>
      </c>
      <c r="D277" s="3" t="s">
        <v>1454</v>
      </c>
      <c r="E277" s="3" t="s">
        <v>1455</v>
      </c>
      <c r="F277" t="s">
        <v>1655</v>
      </c>
      <c r="G277" t="s">
        <v>1513</v>
      </c>
      <c r="H277" s="7">
        <v>46134</v>
      </c>
      <c r="I277" s="7">
        <v>46146</v>
      </c>
      <c r="J277" t="s">
        <v>2553</v>
      </c>
      <c r="K277" t="str">
        <f t="shared" si="19"/>
        <v>Gold Desk Lamp (L)</v>
      </c>
      <c r="L277" t="str">
        <f t="shared" si="16"/>
        <v>David</v>
      </c>
      <c r="M277" t="str">
        <f>SUBSTITUTE(Table1[[#This Row],[Raw_Address]], ", ", " - ")</f>
        <v>Austin - TX</v>
      </c>
      <c r="N277" t="str">
        <f t="shared" si="17"/>
        <v>Q2-2026</v>
      </c>
      <c r="O277" t="str">
        <f t="shared" si="18"/>
        <v>INV/00274/APR</v>
      </c>
    </row>
    <row r="278" spans="1:15" x14ac:dyDescent="0.35">
      <c r="A278" s="3" t="s">
        <v>1881</v>
      </c>
      <c r="B278" s="3" t="s">
        <v>1464</v>
      </c>
      <c r="C278" s="3" t="s">
        <v>18</v>
      </c>
      <c r="D278" s="3" t="s">
        <v>1465</v>
      </c>
      <c r="E278" s="3" t="s">
        <v>1466</v>
      </c>
      <c r="F278" t="s">
        <v>1657</v>
      </c>
      <c r="G278" t="s">
        <v>1517</v>
      </c>
      <c r="H278" s="7">
        <v>46230</v>
      </c>
      <c r="I278" s="7">
        <v>46245</v>
      </c>
      <c r="J278" t="s">
        <v>2554</v>
      </c>
      <c r="K278" t="str">
        <f t="shared" si="19"/>
        <v>White Notebook (XS)</v>
      </c>
      <c r="L278" t="str">
        <f t="shared" si="16"/>
        <v>Anaya</v>
      </c>
      <c r="M278" t="str">
        <f>SUBSTITUTE(Table1[[#This Row],[Raw_Address]], ", ", " - ")</f>
        <v>San Diego - CA</v>
      </c>
      <c r="N278" t="str">
        <f t="shared" si="17"/>
        <v>Q3-2026</v>
      </c>
      <c r="O278" t="str">
        <f t="shared" si="18"/>
        <v>INV/00275/JUL</v>
      </c>
    </row>
    <row r="279" spans="1:15" x14ac:dyDescent="0.35">
      <c r="A279" s="3" t="s">
        <v>1882</v>
      </c>
      <c r="B279" s="3" t="s">
        <v>1474</v>
      </c>
      <c r="C279" s="3" t="s">
        <v>1431</v>
      </c>
      <c r="D279" s="3" t="s">
        <v>1420</v>
      </c>
      <c r="E279" s="3" t="s">
        <v>1475</v>
      </c>
      <c r="F279" t="s">
        <v>1659</v>
      </c>
      <c r="G279" t="s">
        <v>1521</v>
      </c>
      <c r="H279" s="7">
        <v>46299</v>
      </c>
      <c r="I279" s="7">
        <v>46317</v>
      </c>
      <c r="J279" t="s">
        <v>2555</v>
      </c>
      <c r="K279" t="str">
        <f t="shared" si="19"/>
        <v>Gold Power Bank (M)</v>
      </c>
      <c r="L279" t="str">
        <f t="shared" si="16"/>
        <v>Emma</v>
      </c>
      <c r="M279" t="str">
        <f>SUBSTITUTE(Table1[[#This Row],[Raw_Address]], ", ", " - ")</f>
        <v>Kansas City - MO</v>
      </c>
      <c r="N279" t="str">
        <f t="shared" si="17"/>
        <v>Q4-2026</v>
      </c>
      <c r="O279" t="str">
        <f t="shared" si="18"/>
        <v>INV/00276/OCT</v>
      </c>
    </row>
    <row r="280" spans="1:15" x14ac:dyDescent="0.35">
      <c r="A280" s="3" t="s">
        <v>1883</v>
      </c>
      <c r="B280" s="3" t="s">
        <v>1419</v>
      </c>
      <c r="C280" s="3" t="s">
        <v>18</v>
      </c>
      <c r="D280" s="3" t="s">
        <v>1432</v>
      </c>
      <c r="E280" s="3" t="s">
        <v>1483</v>
      </c>
      <c r="F280" t="s">
        <v>1661</v>
      </c>
      <c r="G280" t="s">
        <v>1525</v>
      </c>
      <c r="H280" s="7">
        <v>46031</v>
      </c>
      <c r="I280" s="7">
        <v>46052</v>
      </c>
      <c r="J280" t="s">
        <v>2550</v>
      </c>
      <c r="K280" t="str">
        <f t="shared" si="19"/>
        <v>White Tablet (XL)</v>
      </c>
      <c r="L280" t="str">
        <f t="shared" si="16"/>
        <v>Mason</v>
      </c>
      <c r="M280" t="str">
        <f>SUBSTITUTE(Table1[[#This Row],[Raw_Address]], ", ", " - ")</f>
        <v>Portland - OR</v>
      </c>
      <c r="N280" t="str">
        <f t="shared" si="17"/>
        <v>Q1-2026</v>
      </c>
      <c r="O280" t="str">
        <f t="shared" si="18"/>
        <v>INV/00277/JAN</v>
      </c>
    </row>
    <row r="281" spans="1:15" x14ac:dyDescent="0.35">
      <c r="A281" s="3" t="s">
        <v>1884</v>
      </c>
      <c r="B281" s="3" t="s">
        <v>1430</v>
      </c>
      <c r="C281" s="3" t="s">
        <v>1431</v>
      </c>
      <c r="D281" s="3" t="s">
        <v>1443</v>
      </c>
      <c r="E281" s="3" t="s">
        <v>1487</v>
      </c>
      <c r="F281" t="s">
        <v>1663</v>
      </c>
      <c r="G281" t="s">
        <v>1529</v>
      </c>
      <c r="H281" s="7">
        <v>46126</v>
      </c>
      <c r="I281" s="7">
        <v>46150</v>
      </c>
      <c r="J281" t="s">
        <v>2551</v>
      </c>
      <c r="K281" t="str">
        <f t="shared" si="19"/>
        <v>Gold Mouse (S)</v>
      </c>
      <c r="L281" t="str">
        <f t="shared" si="16"/>
        <v>Amelia</v>
      </c>
      <c r="M281" t="str">
        <f>SUBSTITUTE(Table1[[#This Row],[Raw_Address]], ", ", " - ")</f>
        <v>Las Vegas - NV</v>
      </c>
      <c r="N281" t="str">
        <f t="shared" si="17"/>
        <v>Q2-2026</v>
      </c>
      <c r="O281" t="str">
        <f t="shared" si="18"/>
        <v>INV/00278/APR</v>
      </c>
    </row>
    <row r="282" spans="1:15" x14ac:dyDescent="0.35">
      <c r="A282" s="3" t="s">
        <v>1885</v>
      </c>
      <c r="B282" s="3" t="s">
        <v>1442</v>
      </c>
      <c r="C282" s="3" t="s">
        <v>18</v>
      </c>
      <c r="D282" s="3" t="s">
        <v>1454</v>
      </c>
      <c r="E282" s="3" t="s">
        <v>1491</v>
      </c>
      <c r="F282" t="s">
        <v>1665</v>
      </c>
      <c r="G282" t="s">
        <v>1533</v>
      </c>
      <c r="H282" s="7">
        <v>46222</v>
      </c>
      <c r="I282" s="7">
        <v>46249</v>
      </c>
      <c r="J282" t="s">
        <v>2552</v>
      </c>
      <c r="K282" t="str">
        <f t="shared" si="19"/>
        <v>White Camera (L)</v>
      </c>
      <c r="L282" t="str">
        <f t="shared" si="16"/>
        <v>Charlotte</v>
      </c>
      <c r="M282" t="str">
        <f>SUBSTITUTE(Table1[[#This Row],[Raw_Address]], ", ", " - ")</f>
        <v>Chicago - IL</v>
      </c>
      <c r="N282" t="str">
        <f t="shared" si="17"/>
        <v>Q3-2026</v>
      </c>
      <c r="O282" t="str">
        <f t="shared" si="18"/>
        <v>INV/00279/JUL</v>
      </c>
    </row>
    <row r="283" spans="1:15" x14ac:dyDescent="0.35">
      <c r="A283" s="3" t="s">
        <v>1886</v>
      </c>
      <c r="B283" s="3" t="s">
        <v>1453</v>
      </c>
      <c r="C283" s="3" t="s">
        <v>1431</v>
      </c>
      <c r="D283" s="3" t="s">
        <v>1465</v>
      </c>
      <c r="E283" s="3" t="s">
        <v>1495</v>
      </c>
      <c r="F283" t="s">
        <v>1667</v>
      </c>
      <c r="G283" t="s">
        <v>1537</v>
      </c>
      <c r="H283" s="7">
        <v>46319</v>
      </c>
      <c r="I283" s="7">
        <v>46349</v>
      </c>
      <c r="J283" t="s">
        <v>2553</v>
      </c>
      <c r="K283" t="str">
        <f t="shared" si="19"/>
        <v>Gold Desk Lamp (XS)</v>
      </c>
      <c r="L283" t="str">
        <f t="shared" si="16"/>
        <v>Henry</v>
      </c>
      <c r="M283" t="str">
        <f>SUBSTITUTE(Table1[[#This Row],[Raw_Address]], ", ", " - ")</f>
        <v>Detroit - MI</v>
      </c>
      <c r="N283" t="str">
        <f t="shared" si="17"/>
        <v>Q4-2026</v>
      </c>
      <c r="O283" t="str">
        <f t="shared" si="18"/>
        <v>INV/00280/OCT</v>
      </c>
    </row>
    <row r="284" spans="1:15" x14ac:dyDescent="0.35">
      <c r="A284" s="3" t="s">
        <v>1887</v>
      </c>
      <c r="B284" s="3" t="s">
        <v>1464</v>
      </c>
      <c r="C284" s="3" t="s">
        <v>18</v>
      </c>
      <c r="D284" s="3" t="s">
        <v>1420</v>
      </c>
      <c r="E284" s="3" t="s">
        <v>1499</v>
      </c>
      <c r="F284" t="s">
        <v>1669</v>
      </c>
      <c r="G284" t="s">
        <v>1423</v>
      </c>
      <c r="H284" s="7">
        <v>46023</v>
      </c>
      <c r="I284" s="7">
        <v>46026</v>
      </c>
      <c r="J284" t="s">
        <v>2554</v>
      </c>
      <c r="K284" t="str">
        <f t="shared" si="19"/>
        <v>White Notebook (M)</v>
      </c>
      <c r="L284" t="str">
        <f t="shared" si="16"/>
        <v>Michael</v>
      </c>
      <c r="M284" t="str">
        <f>SUBSTITUTE(Table1[[#This Row],[Raw_Address]], ", ", " - ")</f>
        <v>Boston - MA</v>
      </c>
      <c r="N284" t="str">
        <f t="shared" si="17"/>
        <v>Q1-2026</v>
      </c>
      <c r="O284" t="str">
        <f t="shared" si="18"/>
        <v>INV/00281/JAN</v>
      </c>
    </row>
    <row r="285" spans="1:15" x14ac:dyDescent="0.35">
      <c r="A285" s="3" t="s">
        <v>1888</v>
      </c>
      <c r="B285" s="3" t="s">
        <v>1474</v>
      </c>
      <c r="C285" s="3" t="s">
        <v>1431</v>
      </c>
      <c r="D285" s="3" t="s">
        <v>1432</v>
      </c>
      <c r="E285" s="3" t="s">
        <v>1503</v>
      </c>
      <c r="F285" t="s">
        <v>1671</v>
      </c>
      <c r="G285" t="s">
        <v>1435</v>
      </c>
      <c r="H285" s="7">
        <v>46118</v>
      </c>
      <c r="I285" s="7">
        <v>46124</v>
      </c>
      <c r="J285" t="s">
        <v>2555</v>
      </c>
      <c r="K285" t="str">
        <f t="shared" si="19"/>
        <v>Gold Power Bank (XL)</v>
      </c>
      <c r="L285" t="str">
        <f t="shared" si="16"/>
        <v>Mateo</v>
      </c>
      <c r="M285" t="str">
        <f>SUBSTITUTE(Table1[[#This Row],[Raw_Address]], ", ", " - ")</f>
        <v>Columbus - OH</v>
      </c>
      <c r="N285" t="str">
        <f t="shared" si="17"/>
        <v>Q2-2026</v>
      </c>
      <c r="O285" t="str">
        <f t="shared" si="18"/>
        <v>INV/00282/APR</v>
      </c>
    </row>
    <row r="286" spans="1:15" x14ac:dyDescent="0.35">
      <c r="A286" s="3" t="s">
        <v>1889</v>
      </c>
      <c r="B286" s="3" t="s">
        <v>1419</v>
      </c>
      <c r="C286" s="3" t="s">
        <v>18</v>
      </c>
      <c r="D286" s="3" t="s">
        <v>1443</v>
      </c>
      <c r="E286" s="3" t="s">
        <v>1507</v>
      </c>
      <c r="F286" t="s">
        <v>1673</v>
      </c>
      <c r="G286" t="s">
        <v>1446</v>
      </c>
      <c r="H286" s="7">
        <v>46214</v>
      </c>
      <c r="I286" s="7">
        <v>46223</v>
      </c>
      <c r="J286" t="s">
        <v>2550</v>
      </c>
      <c r="K286" t="str">
        <f t="shared" si="19"/>
        <v>White Tablet (S)</v>
      </c>
      <c r="L286" t="str">
        <f t="shared" si="16"/>
        <v>Sana</v>
      </c>
      <c r="M286" t="str">
        <f>SUBSTITUTE(Table1[[#This Row],[Raw_Address]], ", ", " - ")</f>
        <v>Denver - CO</v>
      </c>
      <c r="N286" t="str">
        <f t="shared" si="17"/>
        <v>Q3-2026</v>
      </c>
      <c r="O286" t="str">
        <f t="shared" si="18"/>
        <v>INV/00283/JUL</v>
      </c>
    </row>
    <row r="287" spans="1:15" x14ac:dyDescent="0.35">
      <c r="A287" s="3" t="s">
        <v>1890</v>
      </c>
      <c r="B287" s="3" t="s">
        <v>1430</v>
      </c>
      <c r="C287" s="3" t="s">
        <v>1431</v>
      </c>
      <c r="D287" s="3" t="s">
        <v>1454</v>
      </c>
      <c r="E287" s="3" t="s">
        <v>1511</v>
      </c>
      <c r="F287" t="s">
        <v>1675</v>
      </c>
      <c r="G287" t="s">
        <v>1457</v>
      </c>
      <c r="H287" s="7">
        <v>46311</v>
      </c>
      <c r="I287" s="7">
        <v>46323</v>
      </c>
      <c r="J287" t="s">
        <v>2551</v>
      </c>
      <c r="K287" t="str">
        <f t="shared" si="19"/>
        <v>Gold Mouse (L)</v>
      </c>
      <c r="L287" t="str">
        <f t="shared" si="16"/>
        <v>Omar</v>
      </c>
      <c r="M287" t="str">
        <f>SUBSTITUTE(Table1[[#This Row],[Raw_Address]], ", ", " - ")</f>
        <v>Dallas - TX</v>
      </c>
      <c r="N287" t="str">
        <f t="shared" si="17"/>
        <v>Q4-2026</v>
      </c>
      <c r="O287" t="str">
        <f t="shared" si="18"/>
        <v>INV/00284/OCT</v>
      </c>
    </row>
    <row r="288" spans="1:15" x14ac:dyDescent="0.35">
      <c r="A288" s="3" t="s">
        <v>1891</v>
      </c>
      <c r="B288" s="3" t="s">
        <v>1442</v>
      </c>
      <c r="C288" s="3" t="s">
        <v>18</v>
      </c>
      <c r="D288" s="3" t="s">
        <v>1465</v>
      </c>
      <c r="E288" s="3" t="s">
        <v>1515</v>
      </c>
      <c r="F288" t="s">
        <v>1677</v>
      </c>
      <c r="G288" t="s">
        <v>1468</v>
      </c>
      <c r="H288" s="7">
        <v>46043</v>
      </c>
      <c r="I288" s="7">
        <v>46058</v>
      </c>
      <c r="J288" t="s">
        <v>2552</v>
      </c>
      <c r="K288" t="str">
        <f t="shared" si="19"/>
        <v>White Camera (XS)</v>
      </c>
      <c r="L288" t="str">
        <f t="shared" si="16"/>
        <v>Nina</v>
      </c>
      <c r="M288" t="str">
        <f>SUBSTITUTE(Table1[[#This Row],[Raw_Address]], ", ", " - ")</f>
        <v>Seattle - WA</v>
      </c>
      <c r="N288" t="str">
        <f t="shared" si="17"/>
        <v>Q1-2026</v>
      </c>
      <c r="O288" t="str">
        <f t="shared" si="18"/>
        <v>INV/00285/JAN</v>
      </c>
    </row>
    <row r="289" spans="1:15" x14ac:dyDescent="0.35">
      <c r="A289" s="3" t="s">
        <v>1892</v>
      </c>
      <c r="B289" s="3" t="s">
        <v>1453</v>
      </c>
      <c r="C289" s="3" t="s">
        <v>1431</v>
      </c>
      <c r="D289" s="3" t="s">
        <v>1420</v>
      </c>
      <c r="E289" s="3" t="s">
        <v>1519</v>
      </c>
      <c r="F289" t="s">
        <v>1679</v>
      </c>
      <c r="G289" t="s">
        <v>1477</v>
      </c>
      <c r="H289" s="7">
        <v>46138</v>
      </c>
      <c r="I289" s="7">
        <v>46156</v>
      </c>
      <c r="J289" t="s">
        <v>2553</v>
      </c>
      <c r="K289" t="str">
        <f t="shared" si="19"/>
        <v>Gold Desk Lamp (M)</v>
      </c>
      <c r="L289" t="str">
        <f t="shared" si="16"/>
        <v>Jack</v>
      </c>
      <c r="M289" t="str">
        <f>SUBSTITUTE(Table1[[#This Row],[Raw_Address]], ", ", " - ")</f>
        <v>Nashville - TN</v>
      </c>
      <c r="N289" t="str">
        <f t="shared" si="17"/>
        <v>Q2-2026</v>
      </c>
      <c r="O289" t="str">
        <f t="shared" si="18"/>
        <v>INV/00286/APR</v>
      </c>
    </row>
    <row r="290" spans="1:15" x14ac:dyDescent="0.35">
      <c r="A290" s="3" t="s">
        <v>1893</v>
      </c>
      <c r="B290" s="3" t="s">
        <v>1464</v>
      </c>
      <c r="C290" s="3" t="s">
        <v>18</v>
      </c>
      <c r="D290" s="3" t="s">
        <v>1432</v>
      </c>
      <c r="E290" s="3" t="s">
        <v>1523</v>
      </c>
      <c r="F290" t="s">
        <v>1681</v>
      </c>
      <c r="G290" t="s">
        <v>1485</v>
      </c>
      <c r="H290" s="7">
        <v>46206</v>
      </c>
      <c r="I290" s="7">
        <v>46227</v>
      </c>
      <c r="J290" t="s">
        <v>2554</v>
      </c>
      <c r="K290" t="str">
        <f t="shared" si="19"/>
        <v>White Notebook (XL)</v>
      </c>
      <c r="L290" t="str">
        <f t="shared" si="16"/>
        <v>Victor</v>
      </c>
      <c r="M290" t="str">
        <f>SUBSTITUTE(Table1[[#This Row],[Raw_Address]], ", ", " - ")</f>
        <v>Minneapolis - MN</v>
      </c>
      <c r="N290" t="str">
        <f t="shared" si="17"/>
        <v>Q3-2026</v>
      </c>
      <c r="O290" t="str">
        <f t="shared" si="18"/>
        <v>INV/00287/JUL</v>
      </c>
    </row>
    <row r="291" spans="1:15" x14ac:dyDescent="0.35">
      <c r="A291" s="3" t="s">
        <v>1894</v>
      </c>
      <c r="B291" s="3" t="s">
        <v>1474</v>
      </c>
      <c r="C291" s="3" t="s">
        <v>1431</v>
      </c>
      <c r="D291" s="3" t="s">
        <v>1443</v>
      </c>
      <c r="E291" s="3" t="s">
        <v>1527</v>
      </c>
      <c r="F291" t="s">
        <v>39</v>
      </c>
      <c r="G291" t="s">
        <v>1489</v>
      </c>
      <c r="H291" s="7">
        <v>46303</v>
      </c>
      <c r="I291" s="7">
        <v>46327</v>
      </c>
      <c r="J291" t="s">
        <v>2555</v>
      </c>
      <c r="K291" t="str">
        <f t="shared" si="19"/>
        <v>Gold Power Bank (S)</v>
      </c>
      <c r="L291" t="str">
        <f t="shared" si="16"/>
        <v>Liam</v>
      </c>
      <c r="M291" t="str">
        <f>SUBSTITUTE(Table1[[#This Row],[Raw_Address]], ", ", " - ")</f>
        <v>Atlanta - GA</v>
      </c>
      <c r="N291" t="str">
        <f t="shared" si="17"/>
        <v>Q4-2026</v>
      </c>
      <c r="O291" t="str">
        <f t="shared" si="18"/>
        <v>INV/00288/OCT</v>
      </c>
    </row>
    <row r="292" spans="1:15" x14ac:dyDescent="0.35">
      <c r="A292" s="3" t="s">
        <v>1895</v>
      </c>
      <c r="B292" s="3" t="s">
        <v>1419</v>
      </c>
      <c r="C292" s="3" t="s">
        <v>18</v>
      </c>
      <c r="D292" s="3" t="s">
        <v>1454</v>
      </c>
      <c r="E292" s="3" t="s">
        <v>1531</v>
      </c>
      <c r="F292" t="s">
        <v>1684</v>
      </c>
      <c r="G292" t="s">
        <v>1493</v>
      </c>
      <c r="H292" s="7">
        <v>46035</v>
      </c>
      <c r="I292" s="7">
        <v>46062</v>
      </c>
      <c r="J292" t="s">
        <v>2550</v>
      </c>
      <c r="K292" t="str">
        <f t="shared" si="19"/>
        <v>White Tablet (L)</v>
      </c>
      <c r="L292" t="str">
        <f t="shared" si="16"/>
        <v>Elijah</v>
      </c>
      <c r="M292" t="str">
        <f>SUBSTITUTE(Table1[[#This Row],[Raw_Address]], ", ", " - ")</f>
        <v>Tampa - FL</v>
      </c>
      <c r="N292" t="str">
        <f t="shared" si="17"/>
        <v>Q1-2026</v>
      </c>
      <c r="O292" t="str">
        <f t="shared" si="18"/>
        <v>INV/00289/JAN</v>
      </c>
    </row>
    <row r="293" spans="1:15" x14ac:dyDescent="0.35">
      <c r="A293" s="3" t="s">
        <v>1896</v>
      </c>
      <c r="B293" s="3" t="s">
        <v>1430</v>
      </c>
      <c r="C293" s="3" t="s">
        <v>1431</v>
      </c>
      <c r="D293" s="3" t="s">
        <v>1465</v>
      </c>
      <c r="E293" s="3" t="s">
        <v>1535</v>
      </c>
      <c r="F293" t="s">
        <v>1686</v>
      </c>
      <c r="G293" t="s">
        <v>1497</v>
      </c>
      <c r="H293" s="7">
        <v>46130</v>
      </c>
      <c r="I293" s="7">
        <v>46160</v>
      </c>
      <c r="J293" t="s">
        <v>2551</v>
      </c>
      <c r="K293" t="str">
        <f t="shared" si="19"/>
        <v>Gold Mouse (XS)</v>
      </c>
      <c r="L293" t="str">
        <f t="shared" si="16"/>
        <v>Lucas</v>
      </c>
      <c r="M293" t="str">
        <f>SUBSTITUTE(Table1[[#This Row],[Raw_Address]], ", ", " - ")</f>
        <v>Phoenix - AZ</v>
      </c>
      <c r="N293" t="str">
        <f t="shared" si="17"/>
        <v>Q2-2026</v>
      </c>
      <c r="O293" t="str">
        <f t="shared" si="18"/>
        <v>INV/00290/APR</v>
      </c>
    </row>
    <row r="294" spans="1:15" x14ac:dyDescent="0.35">
      <c r="A294" s="3" t="s">
        <v>1897</v>
      </c>
      <c r="B294" s="3" t="s">
        <v>1442</v>
      </c>
      <c r="C294" s="3" t="s">
        <v>18</v>
      </c>
      <c r="D294" s="3" t="s">
        <v>1420</v>
      </c>
      <c r="E294" s="3" t="s">
        <v>1539</v>
      </c>
      <c r="F294" t="s">
        <v>1688</v>
      </c>
      <c r="G294" t="s">
        <v>1501</v>
      </c>
      <c r="H294" s="7">
        <v>46226</v>
      </c>
      <c r="I294" s="7">
        <v>46229</v>
      </c>
      <c r="J294" t="s">
        <v>2552</v>
      </c>
      <c r="K294" t="str">
        <f t="shared" si="19"/>
        <v>White Camera (M)</v>
      </c>
      <c r="L294" t="str">
        <f t="shared" si="16"/>
        <v>Ethan</v>
      </c>
      <c r="M294" t="str">
        <f>SUBSTITUTE(Table1[[#This Row],[Raw_Address]], ", ", " - ")</f>
        <v>Raleigh - NC</v>
      </c>
      <c r="N294" t="str">
        <f t="shared" si="17"/>
        <v>Q3-2026</v>
      </c>
      <c r="O294" t="str">
        <f t="shared" si="18"/>
        <v>INV/00291/JUL</v>
      </c>
    </row>
    <row r="295" spans="1:15" x14ac:dyDescent="0.35">
      <c r="A295" s="3" t="s">
        <v>1898</v>
      </c>
      <c r="B295" s="3" t="s">
        <v>1453</v>
      </c>
      <c r="C295" s="3" t="s">
        <v>1431</v>
      </c>
      <c r="D295" s="3" t="s">
        <v>1432</v>
      </c>
      <c r="E295" s="3" t="s">
        <v>1542</v>
      </c>
      <c r="F295" t="s">
        <v>1690</v>
      </c>
      <c r="G295" t="s">
        <v>1505</v>
      </c>
      <c r="H295" s="7">
        <v>46323</v>
      </c>
      <c r="I295" s="7">
        <v>46329</v>
      </c>
      <c r="J295" t="s">
        <v>2553</v>
      </c>
      <c r="K295" t="str">
        <f t="shared" si="19"/>
        <v>Gold Desk Lamp (XL)</v>
      </c>
      <c r="L295" t="str">
        <f t="shared" si="16"/>
        <v>Evelyn</v>
      </c>
      <c r="M295" t="str">
        <f>SUBSTITUTE(Table1[[#This Row],[Raw_Address]], ", ", " - ")</f>
        <v>Miami - FL</v>
      </c>
      <c r="N295" t="str">
        <f t="shared" si="17"/>
        <v>Q4-2026</v>
      </c>
      <c r="O295" t="str">
        <f t="shared" si="18"/>
        <v>INV/00292/OCT</v>
      </c>
    </row>
    <row r="296" spans="1:15" x14ac:dyDescent="0.35">
      <c r="A296" s="3" t="s">
        <v>1899</v>
      </c>
      <c r="B296" s="3" t="s">
        <v>1464</v>
      </c>
      <c r="C296" s="3" t="s">
        <v>18</v>
      </c>
      <c r="D296" s="3" t="s">
        <v>1443</v>
      </c>
      <c r="E296" s="3" t="s">
        <v>1545</v>
      </c>
      <c r="F296" t="s">
        <v>1692</v>
      </c>
      <c r="G296" t="s">
        <v>1509</v>
      </c>
      <c r="H296" s="7">
        <v>46027</v>
      </c>
      <c r="I296" s="7">
        <v>46036</v>
      </c>
      <c r="J296" t="s">
        <v>2554</v>
      </c>
      <c r="K296" t="str">
        <f t="shared" si="19"/>
        <v>White Notebook (S)</v>
      </c>
      <c r="L296" t="str">
        <f t="shared" si="16"/>
        <v>Scarlett</v>
      </c>
      <c r="M296" t="str">
        <f>SUBSTITUTE(Table1[[#This Row],[Raw_Address]], ", ", " - ")</f>
        <v>Charlotte - NC</v>
      </c>
      <c r="N296" t="str">
        <f t="shared" si="17"/>
        <v>Q1-2026</v>
      </c>
      <c r="O296" t="str">
        <f t="shared" si="18"/>
        <v>INV/00293/JAN</v>
      </c>
    </row>
    <row r="297" spans="1:15" x14ac:dyDescent="0.35">
      <c r="A297" s="3" t="s">
        <v>1900</v>
      </c>
      <c r="B297" s="3" t="s">
        <v>1474</v>
      </c>
      <c r="C297" s="3" t="s">
        <v>1431</v>
      </c>
      <c r="D297" s="3" t="s">
        <v>1454</v>
      </c>
      <c r="E297" s="3" t="s">
        <v>1548</v>
      </c>
      <c r="F297" t="s">
        <v>1694</v>
      </c>
      <c r="G297" t="s">
        <v>1513</v>
      </c>
      <c r="H297" s="7">
        <v>46122</v>
      </c>
      <c r="I297" s="7">
        <v>46134</v>
      </c>
      <c r="J297" t="s">
        <v>2555</v>
      </c>
      <c r="K297" t="str">
        <f t="shared" si="19"/>
        <v>Gold Power Bank (L)</v>
      </c>
      <c r="L297" t="str">
        <f t="shared" si="16"/>
        <v>Sofia</v>
      </c>
      <c r="M297" t="str">
        <f>SUBSTITUTE(Table1[[#This Row],[Raw_Address]], ", ", " - ")</f>
        <v>Austin - TX</v>
      </c>
      <c r="N297" t="str">
        <f t="shared" si="17"/>
        <v>Q2-2026</v>
      </c>
      <c r="O297" t="str">
        <f t="shared" si="18"/>
        <v>INV/00294/APR</v>
      </c>
    </row>
    <row r="298" spans="1:15" x14ac:dyDescent="0.35">
      <c r="A298" s="3" t="s">
        <v>1901</v>
      </c>
      <c r="B298" s="3" t="s">
        <v>1419</v>
      </c>
      <c r="C298" s="3" t="s">
        <v>18</v>
      </c>
      <c r="D298" s="3" t="s">
        <v>1465</v>
      </c>
      <c r="E298" s="3" t="s">
        <v>1551</v>
      </c>
      <c r="F298" t="s">
        <v>1696</v>
      </c>
      <c r="G298" t="s">
        <v>1517</v>
      </c>
      <c r="H298" s="7">
        <v>46218</v>
      </c>
      <c r="I298" s="7">
        <v>46233</v>
      </c>
      <c r="J298" t="s">
        <v>2550</v>
      </c>
      <c r="K298" t="str">
        <f t="shared" si="19"/>
        <v>White Tablet (XS)</v>
      </c>
      <c r="L298" t="str">
        <f t="shared" si="16"/>
        <v>Priya</v>
      </c>
      <c r="M298" t="str">
        <f>SUBSTITUTE(Table1[[#This Row],[Raw_Address]], ", ", " - ")</f>
        <v>San Diego - CA</v>
      </c>
      <c r="N298" t="str">
        <f t="shared" si="17"/>
        <v>Q3-2026</v>
      </c>
      <c r="O298" t="str">
        <f t="shared" si="18"/>
        <v>INV/00295/JUL</v>
      </c>
    </row>
    <row r="299" spans="1:15" x14ac:dyDescent="0.35">
      <c r="A299" s="3" t="s">
        <v>1902</v>
      </c>
      <c r="B299" s="3" t="s">
        <v>1430</v>
      </c>
      <c r="C299" s="3" t="s">
        <v>1431</v>
      </c>
      <c r="D299" s="3" t="s">
        <v>1420</v>
      </c>
      <c r="E299" s="3" t="s">
        <v>1554</v>
      </c>
      <c r="F299" t="s">
        <v>1698</v>
      </c>
      <c r="G299" t="s">
        <v>1521</v>
      </c>
      <c r="H299" s="7">
        <v>46315</v>
      </c>
      <c r="I299" s="7">
        <v>46333</v>
      </c>
      <c r="J299" t="s">
        <v>2551</v>
      </c>
      <c r="K299" t="str">
        <f t="shared" si="19"/>
        <v>Gold Mouse (M)</v>
      </c>
      <c r="L299" t="str">
        <f t="shared" si="16"/>
        <v>Kabir</v>
      </c>
      <c r="M299" t="str">
        <f>SUBSTITUTE(Table1[[#This Row],[Raw_Address]], ", ", " - ")</f>
        <v>Kansas City - MO</v>
      </c>
      <c r="N299" t="str">
        <f t="shared" si="17"/>
        <v>Q4-2026</v>
      </c>
      <c r="O299" t="str">
        <f t="shared" si="18"/>
        <v>INV/00296/OCT</v>
      </c>
    </row>
    <row r="300" spans="1:15" x14ac:dyDescent="0.35">
      <c r="A300" s="3" t="s">
        <v>1903</v>
      </c>
      <c r="B300" s="3" t="s">
        <v>1442</v>
      </c>
      <c r="C300" s="3" t="s">
        <v>18</v>
      </c>
      <c r="D300" s="3" t="s">
        <v>1432</v>
      </c>
      <c r="E300" s="3" t="s">
        <v>1557</v>
      </c>
      <c r="F300" t="s">
        <v>1700</v>
      </c>
      <c r="G300" t="s">
        <v>1525</v>
      </c>
      <c r="H300" s="7">
        <v>46047</v>
      </c>
      <c r="I300" s="7">
        <v>46068</v>
      </c>
      <c r="J300" t="s">
        <v>2552</v>
      </c>
      <c r="K300" t="str">
        <f t="shared" si="19"/>
        <v>White Camera (XL)</v>
      </c>
      <c r="L300" t="str">
        <f t="shared" si="16"/>
        <v>Fatima</v>
      </c>
      <c r="M300" t="str">
        <f>SUBSTITUTE(Table1[[#This Row],[Raw_Address]], ", ", " - ")</f>
        <v>Portland - OR</v>
      </c>
      <c r="N300" t="str">
        <f t="shared" si="17"/>
        <v>Q1-2026</v>
      </c>
      <c r="O300" t="str">
        <f t="shared" si="18"/>
        <v>INV/00297/JAN</v>
      </c>
    </row>
    <row r="301" spans="1:15" x14ac:dyDescent="0.35">
      <c r="A301" s="3" t="s">
        <v>1904</v>
      </c>
      <c r="B301" s="3" t="s">
        <v>1453</v>
      </c>
      <c r="C301" s="3" t="s">
        <v>1431</v>
      </c>
      <c r="D301" s="3" t="s">
        <v>1443</v>
      </c>
      <c r="E301" s="3" t="s">
        <v>1560</v>
      </c>
      <c r="F301" t="s">
        <v>1702</v>
      </c>
      <c r="G301" t="s">
        <v>1529</v>
      </c>
      <c r="H301" s="7">
        <v>46114</v>
      </c>
      <c r="I301" s="7">
        <v>46138</v>
      </c>
      <c r="J301" t="s">
        <v>2553</v>
      </c>
      <c r="K301" t="str">
        <f t="shared" si="19"/>
        <v>Gold Desk Lamp (S)</v>
      </c>
      <c r="L301" t="str">
        <f t="shared" si="16"/>
        <v>Grace</v>
      </c>
      <c r="M301" t="str">
        <f>SUBSTITUTE(Table1[[#This Row],[Raw_Address]], ", ", " - ")</f>
        <v>Las Vegas - NV</v>
      </c>
      <c r="N301" t="str">
        <f t="shared" si="17"/>
        <v>Q2-2026</v>
      </c>
      <c r="O301" t="str">
        <f t="shared" si="18"/>
        <v>INV/00298/APR</v>
      </c>
    </row>
    <row r="302" spans="1:15" x14ac:dyDescent="0.35">
      <c r="A302" s="3" t="s">
        <v>1905</v>
      </c>
      <c r="B302" s="3" t="s">
        <v>1464</v>
      </c>
      <c r="C302" s="3" t="s">
        <v>18</v>
      </c>
      <c r="D302" s="3" t="s">
        <v>1454</v>
      </c>
      <c r="E302" s="3" t="s">
        <v>1563</v>
      </c>
      <c r="F302" t="s">
        <v>1704</v>
      </c>
      <c r="G302" t="s">
        <v>1533</v>
      </c>
      <c r="H302" s="7">
        <v>46210</v>
      </c>
      <c r="I302" s="7">
        <v>46237</v>
      </c>
      <c r="J302" t="s">
        <v>2554</v>
      </c>
      <c r="K302" t="str">
        <f t="shared" si="19"/>
        <v>White Notebook (L)</v>
      </c>
      <c r="L302" t="str">
        <f t="shared" si="16"/>
        <v>David</v>
      </c>
      <c r="M302" t="str">
        <f>SUBSTITUTE(Table1[[#This Row],[Raw_Address]], ", ", " - ")</f>
        <v>Chicago - IL</v>
      </c>
      <c r="N302" t="str">
        <f t="shared" si="17"/>
        <v>Q3-2026</v>
      </c>
      <c r="O302" t="str">
        <f t="shared" si="18"/>
        <v>INV/00299/JUL</v>
      </c>
    </row>
    <row r="303" spans="1:15" x14ac:dyDescent="0.35">
      <c r="A303" s="3" t="s">
        <v>1906</v>
      </c>
      <c r="B303" s="3" t="s">
        <v>1474</v>
      </c>
      <c r="C303" s="3" t="s">
        <v>1431</v>
      </c>
      <c r="D303" s="3" t="s">
        <v>1465</v>
      </c>
      <c r="E303" s="3" t="s">
        <v>1566</v>
      </c>
      <c r="F303" t="s">
        <v>1706</v>
      </c>
      <c r="G303" t="s">
        <v>1537</v>
      </c>
      <c r="H303" s="7">
        <v>46307</v>
      </c>
      <c r="I303" s="7">
        <v>46337</v>
      </c>
      <c r="J303" t="s">
        <v>2555</v>
      </c>
      <c r="K303" t="str">
        <f t="shared" si="19"/>
        <v>Gold Power Bank (XS)</v>
      </c>
      <c r="L303" t="str">
        <f t="shared" si="16"/>
        <v>Anaya</v>
      </c>
      <c r="M303" t="str">
        <f>SUBSTITUTE(Table1[[#This Row],[Raw_Address]], ", ", " - ")</f>
        <v>Detroit - MI</v>
      </c>
      <c r="N303" t="str">
        <f t="shared" si="17"/>
        <v>Q4-2026</v>
      </c>
      <c r="O303" t="str">
        <f t="shared" si="18"/>
        <v>INV/00300/OCT</v>
      </c>
    </row>
    <row r="304" spans="1:15" x14ac:dyDescent="0.35">
      <c r="A304" s="3" t="s">
        <v>1907</v>
      </c>
      <c r="B304" s="3" t="s">
        <v>1419</v>
      </c>
      <c r="C304" s="3" t="s">
        <v>18</v>
      </c>
      <c r="D304" s="3" t="s">
        <v>1420</v>
      </c>
      <c r="E304" s="3" t="s">
        <v>1421</v>
      </c>
      <c r="F304" t="s">
        <v>1422</v>
      </c>
      <c r="G304" t="s">
        <v>1423</v>
      </c>
      <c r="H304" s="7">
        <v>46039</v>
      </c>
      <c r="I304" s="7">
        <v>46042</v>
      </c>
      <c r="J304" t="s">
        <v>2550</v>
      </c>
      <c r="K304" t="str">
        <f t="shared" si="19"/>
        <v>White Tablet (M)</v>
      </c>
      <c r="L304" t="str">
        <f t="shared" si="16"/>
        <v>Emma</v>
      </c>
      <c r="M304" t="str">
        <f>SUBSTITUTE(Table1[[#This Row],[Raw_Address]], ", ", " - ")</f>
        <v>Boston - MA</v>
      </c>
      <c r="N304" t="str">
        <f t="shared" si="17"/>
        <v>Q1-2026</v>
      </c>
      <c r="O304" t="str">
        <f t="shared" si="18"/>
        <v>INV/00301/JAN</v>
      </c>
    </row>
    <row r="305" spans="1:15" x14ac:dyDescent="0.35">
      <c r="A305" s="3" t="s">
        <v>1908</v>
      </c>
      <c r="B305" s="3" t="s">
        <v>1430</v>
      </c>
      <c r="C305" s="3" t="s">
        <v>1431</v>
      </c>
      <c r="D305" s="3" t="s">
        <v>1432</v>
      </c>
      <c r="E305" s="3" t="s">
        <v>1433</v>
      </c>
      <c r="F305" t="s">
        <v>1434</v>
      </c>
      <c r="G305" t="s">
        <v>1435</v>
      </c>
      <c r="H305" s="7">
        <v>46134</v>
      </c>
      <c r="I305" s="7">
        <v>46140</v>
      </c>
      <c r="J305" t="s">
        <v>2551</v>
      </c>
      <c r="K305" t="str">
        <f t="shared" si="19"/>
        <v>Gold Mouse (XL)</v>
      </c>
      <c r="L305" t="str">
        <f t="shared" si="16"/>
        <v>Mason</v>
      </c>
      <c r="M305" t="str">
        <f>SUBSTITUTE(Table1[[#This Row],[Raw_Address]], ", ", " - ")</f>
        <v>Columbus - OH</v>
      </c>
      <c r="N305" t="str">
        <f t="shared" si="17"/>
        <v>Q2-2026</v>
      </c>
      <c r="O305" t="str">
        <f t="shared" si="18"/>
        <v>INV/00302/APR</v>
      </c>
    </row>
    <row r="306" spans="1:15" x14ac:dyDescent="0.35">
      <c r="A306" s="3" t="s">
        <v>1909</v>
      </c>
      <c r="B306" s="3" t="s">
        <v>1442</v>
      </c>
      <c r="C306" s="3" t="s">
        <v>18</v>
      </c>
      <c r="D306" s="3" t="s">
        <v>1443</v>
      </c>
      <c r="E306" s="3" t="s">
        <v>1444</v>
      </c>
      <c r="F306" t="s">
        <v>1445</v>
      </c>
      <c r="G306" t="s">
        <v>1446</v>
      </c>
      <c r="H306" s="7">
        <v>46230</v>
      </c>
      <c r="I306" s="7">
        <v>46239</v>
      </c>
      <c r="J306" t="s">
        <v>2552</v>
      </c>
      <c r="K306" t="str">
        <f t="shared" si="19"/>
        <v>White Camera (S)</v>
      </c>
      <c r="L306" t="str">
        <f t="shared" si="16"/>
        <v>Amelia</v>
      </c>
      <c r="M306" t="str">
        <f>SUBSTITUTE(Table1[[#This Row],[Raw_Address]], ", ", " - ")</f>
        <v>Denver - CO</v>
      </c>
      <c r="N306" t="str">
        <f t="shared" si="17"/>
        <v>Q3-2026</v>
      </c>
      <c r="O306" t="str">
        <f t="shared" si="18"/>
        <v>INV/00303/JUL</v>
      </c>
    </row>
    <row r="307" spans="1:15" x14ac:dyDescent="0.35">
      <c r="A307" s="3" t="s">
        <v>1910</v>
      </c>
      <c r="B307" s="3" t="s">
        <v>1453</v>
      </c>
      <c r="C307" s="3" t="s">
        <v>1431</v>
      </c>
      <c r="D307" s="3" t="s">
        <v>1454</v>
      </c>
      <c r="E307" s="3" t="s">
        <v>1455</v>
      </c>
      <c r="F307" t="s">
        <v>1456</v>
      </c>
      <c r="G307" t="s">
        <v>1457</v>
      </c>
      <c r="H307" s="7">
        <v>46299</v>
      </c>
      <c r="I307" s="7">
        <v>46311</v>
      </c>
      <c r="J307" t="s">
        <v>2553</v>
      </c>
      <c r="K307" t="str">
        <f t="shared" si="19"/>
        <v>Gold Desk Lamp (L)</v>
      </c>
      <c r="L307" t="str">
        <f t="shared" si="16"/>
        <v>Charlotte</v>
      </c>
      <c r="M307" t="str">
        <f>SUBSTITUTE(Table1[[#This Row],[Raw_Address]], ", ", " - ")</f>
        <v>Dallas - TX</v>
      </c>
      <c r="N307" t="str">
        <f t="shared" si="17"/>
        <v>Q4-2026</v>
      </c>
      <c r="O307" t="str">
        <f t="shared" si="18"/>
        <v>INV/00304/OCT</v>
      </c>
    </row>
    <row r="308" spans="1:15" x14ac:dyDescent="0.35">
      <c r="A308" s="3" t="s">
        <v>1911</v>
      </c>
      <c r="B308" s="3" t="s">
        <v>1464</v>
      </c>
      <c r="C308" s="3" t="s">
        <v>18</v>
      </c>
      <c r="D308" s="3" t="s">
        <v>1465</v>
      </c>
      <c r="E308" s="3" t="s">
        <v>1466</v>
      </c>
      <c r="F308" t="s">
        <v>1467</v>
      </c>
      <c r="G308" t="s">
        <v>1468</v>
      </c>
      <c r="H308" s="7">
        <v>46031</v>
      </c>
      <c r="I308" s="7">
        <v>46046</v>
      </c>
      <c r="J308" t="s">
        <v>2554</v>
      </c>
      <c r="K308" t="str">
        <f t="shared" si="19"/>
        <v>White Notebook (XS)</v>
      </c>
      <c r="L308" t="str">
        <f t="shared" si="16"/>
        <v>Henry</v>
      </c>
      <c r="M308" t="str">
        <f>SUBSTITUTE(Table1[[#This Row],[Raw_Address]], ", ", " - ")</f>
        <v>Seattle - WA</v>
      </c>
      <c r="N308" t="str">
        <f t="shared" si="17"/>
        <v>Q1-2026</v>
      </c>
      <c r="O308" t="str">
        <f t="shared" si="18"/>
        <v>INV/00305/JAN</v>
      </c>
    </row>
    <row r="309" spans="1:15" x14ac:dyDescent="0.35">
      <c r="A309" s="3" t="s">
        <v>1912</v>
      </c>
      <c r="B309" s="3" t="s">
        <v>1474</v>
      </c>
      <c r="C309" s="3" t="s">
        <v>1431</v>
      </c>
      <c r="D309" s="3" t="s">
        <v>1420</v>
      </c>
      <c r="E309" s="3" t="s">
        <v>1475</v>
      </c>
      <c r="F309" t="s">
        <v>1476</v>
      </c>
      <c r="G309" t="s">
        <v>1477</v>
      </c>
      <c r="H309" s="7">
        <v>46126</v>
      </c>
      <c r="I309" s="7">
        <v>46144</v>
      </c>
      <c r="J309" t="s">
        <v>2555</v>
      </c>
      <c r="K309" t="str">
        <f t="shared" si="19"/>
        <v>Gold Power Bank (M)</v>
      </c>
      <c r="L309" t="str">
        <f t="shared" si="16"/>
        <v>Michael</v>
      </c>
      <c r="M309" t="str">
        <f>SUBSTITUTE(Table1[[#This Row],[Raw_Address]], ", ", " - ")</f>
        <v>Nashville - TN</v>
      </c>
      <c r="N309" t="str">
        <f t="shared" si="17"/>
        <v>Q2-2026</v>
      </c>
      <c r="O309" t="str">
        <f t="shared" si="18"/>
        <v>INV/00306/APR</v>
      </c>
    </row>
    <row r="310" spans="1:15" x14ac:dyDescent="0.35">
      <c r="A310" s="3" t="s">
        <v>1913</v>
      </c>
      <c r="B310" s="3" t="s">
        <v>1419</v>
      </c>
      <c r="C310" s="3" t="s">
        <v>18</v>
      </c>
      <c r="D310" s="3" t="s">
        <v>1432</v>
      </c>
      <c r="E310" s="3" t="s">
        <v>1483</v>
      </c>
      <c r="F310" t="s">
        <v>1484</v>
      </c>
      <c r="G310" t="s">
        <v>1485</v>
      </c>
      <c r="H310" s="7">
        <v>46222</v>
      </c>
      <c r="I310" s="7">
        <v>46243</v>
      </c>
      <c r="J310" t="s">
        <v>2550</v>
      </c>
      <c r="K310" t="str">
        <f t="shared" si="19"/>
        <v>White Tablet (XL)</v>
      </c>
      <c r="L310" t="str">
        <f t="shared" si="16"/>
        <v>Mateo</v>
      </c>
      <c r="M310" t="str">
        <f>SUBSTITUTE(Table1[[#This Row],[Raw_Address]], ", ", " - ")</f>
        <v>Minneapolis - MN</v>
      </c>
      <c r="N310" t="str">
        <f t="shared" si="17"/>
        <v>Q3-2026</v>
      </c>
      <c r="O310" t="str">
        <f t="shared" si="18"/>
        <v>INV/00307/JUL</v>
      </c>
    </row>
    <row r="311" spans="1:15" x14ac:dyDescent="0.35">
      <c r="A311" s="3" t="s">
        <v>1914</v>
      </c>
      <c r="B311" s="3" t="s">
        <v>1430</v>
      </c>
      <c r="C311" s="3" t="s">
        <v>1431</v>
      </c>
      <c r="D311" s="3" t="s">
        <v>1443</v>
      </c>
      <c r="E311" s="3" t="s">
        <v>1487</v>
      </c>
      <c r="F311" t="s">
        <v>1488</v>
      </c>
      <c r="G311" t="s">
        <v>1489</v>
      </c>
      <c r="H311" s="7">
        <v>46319</v>
      </c>
      <c r="I311" s="7">
        <v>46343</v>
      </c>
      <c r="J311" t="s">
        <v>2551</v>
      </c>
      <c r="K311" t="str">
        <f t="shared" si="19"/>
        <v>Gold Mouse (S)</v>
      </c>
      <c r="L311" t="str">
        <f t="shared" si="16"/>
        <v>Sana</v>
      </c>
      <c r="M311" t="str">
        <f>SUBSTITUTE(Table1[[#This Row],[Raw_Address]], ", ", " - ")</f>
        <v>Atlanta - GA</v>
      </c>
      <c r="N311" t="str">
        <f t="shared" si="17"/>
        <v>Q4-2026</v>
      </c>
      <c r="O311" t="str">
        <f t="shared" si="18"/>
        <v>INV/00308/OCT</v>
      </c>
    </row>
    <row r="312" spans="1:15" x14ac:dyDescent="0.35">
      <c r="A312" s="3" t="s">
        <v>1915</v>
      </c>
      <c r="B312" s="3" t="s">
        <v>1442</v>
      </c>
      <c r="C312" s="3" t="s">
        <v>18</v>
      </c>
      <c r="D312" s="3" t="s">
        <v>1454</v>
      </c>
      <c r="E312" s="3" t="s">
        <v>1491</v>
      </c>
      <c r="F312" t="s">
        <v>1492</v>
      </c>
      <c r="G312" t="s">
        <v>1493</v>
      </c>
      <c r="H312" s="7">
        <v>46023</v>
      </c>
      <c r="I312" s="7">
        <v>46050</v>
      </c>
      <c r="J312" t="s">
        <v>2552</v>
      </c>
      <c r="K312" t="str">
        <f t="shared" si="19"/>
        <v>White Camera (L)</v>
      </c>
      <c r="L312" t="str">
        <f t="shared" si="16"/>
        <v>Omar</v>
      </c>
      <c r="M312" t="str">
        <f>SUBSTITUTE(Table1[[#This Row],[Raw_Address]], ", ", " - ")</f>
        <v>Tampa - FL</v>
      </c>
      <c r="N312" t="str">
        <f t="shared" si="17"/>
        <v>Q1-2026</v>
      </c>
      <c r="O312" t="str">
        <f t="shared" si="18"/>
        <v>INV/00309/JAN</v>
      </c>
    </row>
    <row r="313" spans="1:15" x14ac:dyDescent="0.35">
      <c r="A313" s="3" t="s">
        <v>1916</v>
      </c>
      <c r="B313" s="3" t="s">
        <v>1453</v>
      </c>
      <c r="C313" s="3" t="s">
        <v>1431</v>
      </c>
      <c r="D313" s="3" t="s">
        <v>1465</v>
      </c>
      <c r="E313" s="3" t="s">
        <v>1495</v>
      </c>
      <c r="F313" t="s">
        <v>1496</v>
      </c>
      <c r="G313" t="s">
        <v>1497</v>
      </c>
      <c r="H313" s="7">
        <v>46118</v>
      </c>
      <c r="I313" s="7">
        <v>46148</v>
      </c>
      <c r="J313" t="s">
        <v>2553</v>
      </c>
      <c r="K313" t="str">
        <f t="shared" si="19"/>
        <v>Gold Desk Lamp (XS)</v>
      </c>
      <c r="L313" t="str">
        <f t="shared" si="16"/>
        <v>Nina</v>
      </c>
      <c r="M313" t="str">
        <f>SUBSTITUTE(Table1[[#This Row],[Raw_Address]], ", ", " - ")</f>
        <v>Phoenix - AZ</v>
      </c>
      <c r="N313" t="str">
        <f t="shared" si="17"/>
        <v>Q2-2026</v>
      </c>
      <c r="O313" t="str">
        <f t="shared" si="18"/>
        <v>INV/00310/APR</v>
      </c>
    </row>
    <row r="314" spans="1:15" x14ac:dyDescent="0.35">
      <c r="A314" s="3" t="s">
        <v>1917</v>
      </c>
      <c r="B314" s="3" t="s">
        <v>1464</v>
      </c>
      <c r="C314" s="3" t="s">
        <v>18</v>
      </c>
      <c r="D314" s="3" t="s">
        <v>1420</v>
      </c>
      <c r="E314" s="3" t="s">
        <v>1499</v>
      </c>
      <c r="F314" t="s">
        <v>1500</v>
      </c>
      <c r="G314" t="s">
        <v>1501</v>
      </c>
      <c r="H314" s="7">
        <v>46214</v>
      </c>
      <c r="I314" s="7">
        <v>46217</v>
      </c>
      <c r="J314" t="s">
        <v>2554</v>
      </c>
      <c r="K314" t="str">
        <f t="shared" si="19"/>
        <v>White Notebook (M)</v>
      </c>
      <c r="L314" t="str">
        <f t="shared" si="16"/>
        <v>Jack</v>
      </c>
      <c r="M314" t="str">
        <f>SUBSTITUTE(Table1[[#This Row],[Raw_Address]], ", ", " - ")</f>
        <v>Raleigh - NC</v>
      </c>
      <c r="N314" t="str">
        <f t="shared" si="17"/>
        <v>Q3-2026</v>
      </c>
      <c r="O314" t="str">
        <f t="shared" si="18"/>
        <v>INV/00311/JUL</v>
      </c>
    </row>
    <row r="315" spans="1:15" x14ac:dyDescent="0.35">
      <c r="A315" s="3" t="s">
        <v>1918</v>
      </c>
      <c r="B315" s="3" t="s">
        <v>1474</v>
      </c>
      <c r="C315" s="3" t="s">
        <v>1431</v>
      </c>
      <c r="D315" s="3" t="s">
        <v>1432</v>
      </c>
      <c r="E315" s="3" t="s">
        <v>1503</v>
      </c>
      <c r="F315" t="s">
        <v>1504</v>
      </c>
      <c r="G315" t="s">
        <v>1505</v>
      </c>
      <c r="H315" s="7">
        <v>46311</v>
      </c>
      <c r="I315" s="7">
        <v>46317</v>
      </c>
      <c r="J315" t="s">
        <v>2555</v>
      </c>
      <c r="K315" t="str">
        <f t="shared" si="19"/>
        <v>Gold Power Bank (XL)</v>
      </c>
      <c r="L315" t="str">
        <f t="shared" si="16"/>
        <v>Victor</v>
      </c>
      <c r="M315" t="str">
        <f>SUBSTITUTE(Table1[[#This Row],[Raw_Address]], ", ", " - ")</f>
        <v>Miami - FL</v>
      </c>
      <c r="N315" t="str">
        <f t="shared" si="17"/>
        <v>Q4-2026</v>
      </c>
      <c r="O315" t="str">
        <f t="shared" si="18"/>
        <v>INV/00312/OCT</v>
      </c>
    </row>
    <row r="316" spans="1:15" x14ac:dyDescent="0.35">
      <c r="A316" s="3" t="s">
        <v>1919</v>
      </c>
      <c r="B316" s="3" t="s">
        <v>1419</v>
      </c>
      <c r="C316" s="3" t="s">
        <v>18</v>
      </c>
      <c r="D316" s="3" t="s">
        <v>1443</v>
      </c>
      <c r="E316" s="3" t="s">
        <v>1507</v>
      </c>
      <c r="F316" t="s">
        <v>1508</v>
      </c>
      <c r="G316" t="s">
        <v>1509</v>
      </c>
      <c r="H316" s="7">
        <v>46043</v>
      </c>
      <c r="I316" s="7">
        <v>46052</v>
      </c>
      <c r="J316" t="s">
        <v>2550</v>
      </c>
      <c r="K316" t="str">
        <f t="shared" si="19"/>
        <v>White Tablet (S)</v>
      </c>
      <c r="L316" t="str">
        <f t="shared" si="16"/>
        <v>Liam</v>
      </c>
      <c r="M316" t="str">
        <f>SUBSTITUTE(Table1[[#This Row],[Raw_Address]], ", ", " - ")</f>
        <v>Charlotte - NC</v>
      </c>
      <c r="N316" t="str">
        <f t="shared" si="17"/>
        <v>Q1-2026</v>
      </c>
      <c r="O316" t="str">
        <f t="shared" si="18"/>
        <v>INV/00313/JAN</v>
      </c>
    </row>
    <row r="317" spans="1:15" x14ac:dyDescent="0.35">
      <c r="A317" s="3" t="s">
        <v>1920</v>
      </c>
      <c r="B317" s="3" t="s">
        <v>1430</v>
      </c>
      <c r="C317" s="3" t="s">
        <v>1431</v>
      </c>
      <c r="D317" s="3" t="s">
        <v>1454</v>
      </c>
      <c r="E317" s="3" t="s">
        <v>1511</v>
      </c>
      <c r="F317" t="s">
        <v>1512</v>
      </c>
      <c r="G317" t="s">
        <v>1513</v>
      </c>
      <c r="H317" s="7">
        <v>46138</v>
      </c>
      <c r="I317" s="7">
        <v>46150</v>
      </c>
      <c r="J317" t="s">
        <v>2551</v>
      </c>
      <c r="K317" t="str">
        <f t="shared" si="19"/>
        <v>Gold Mouse (L)</v>
      </c>
      <c r="L317" t="str">
        <f t="shared" si="16"/>
        <v>Elijah</v>
      </c>
      <c r="M317" t="str">
        <f>SUBSTITUTE(Table1[[#This Row],[Raw_Address]], ", ", " - ")</f>
        <v>Austin - TX</v>
      </c>
      <c r="N317" t="str">
        <f t="shared" si="17"/>
        <v>Q2-2026</v>
      </c>
      <c r="O317" t="str">
        <f t="shared" si="18"/>
        <v>INV/00314/APR</v>
      </c>
    </row>
    <row r="318" spans="1:15" x14ac:dyDescent="0.35">
      <c r="A318" s="3" t="s">
        <v>1921</v>
      </c>
      <c r="B318" s="3" t="s">
        <v>1442</v>
      </c>
      <c r="C318" s="3" t="s">
        <v>18</v>
      </c>
      <c r="D318" s="3" t="s">
        <v>1465</v>
      </c>
      <c r="E318" s="3" t="s">
        <v>1515</v>
      </c>
      <c r="F318" t="s">
        <v>1516</v>
      </c>
      <c r="G318" t="s">
        <v>1517</v>
      </c>
      <c r="H318" s="7">
        <v>46206</v>
      </c>
      <c r="I318" s="7">
        <v>46221</v>
      </c>
      <c r="J318" t="s">
        <v>2552</v>
      </c>
      <c r="K318" t="str">
        <f t="shared" si="19"/>
        <v>White Camera (XS)</v>
      </c>
      <c r="L318" t="str">
        <f t="shared" si="16"/>
        <v>Lucas</v>
      </c>
      <c r="M318" t="str">
        <f>SUBSTITUTE(Table1[[#This Row],[Raw_Address]], ", ", " - ")</f>
        <v>San Diego - CA</v>
      </c>
      <c r="N318" t="str">
        <f t="shared" si="17"/>
        <v>Q3-2026</v>
      </c>
      <c r="O318" t="str">
        <f t="shared" si="18"/>
        <v>INV/00315/JUL</v>
      </c>
    </row>
    <row r="319" spans="1:15" x14ac:dyDescent="0.35">
      <c r="A319" s="3" t="s">
        <v>1922</v>
      </c>
      <c r="B319" s="3" t="s">
        <v>1453</v>
      </c>
      <c r="C319" s="3" t="s">
        <v>1431</v>
      </c>
      <c r="D319" s="3" t="s">
        <v>1420</v>
      </c>
      <c r="E319" s="3" t="s">
        <v>1519</v>
      </c>
      <c r="F319" t="s">
        <v>1520</v>
      </c>
      <c r="G319" t="s">
        <v>1521</v>
      </c>
      <c r="H319" s="7">
        <v>46303</v>
      </c>
      <c r="I319" s="7">
        <v>46321</v>
      </c>
      <c r="J319" t="s">
        <v>2553</v>
      </c>
      <c r="K319" t="str">
        <f t="shared" si="19"/>
        <v>Gold Desk Lamp (M)</v>
      </c>
      <c r="L319" t="str">
        <f t="shared" si="16"/>
        <v>Ethan</v>
      </c>
      <c r="M319" t="str">
        <f>SUBSTITUTE(Table1[[#This Row],[Raw_Address]], ", ", " - ")</f>
        <v>Kansas City - MO</v>
      </c>
      <c r="N319" t="str">
        <f t="shared" si="17"/>
        <v>Q4-2026</v>
      </c>
      <c r="O319" t="str">
        <f t="shared" si="18"/>
        <v>INV/00316/OCT</v>
      </c>
    </row>
    <row r="320" spans="1:15" x14ac:dyDescent="0.35">
      <c r="A320" s="3" t="s">
        <v>1923</v>
      </c>
      <c r="B320" s="3" t="s">
        <v>1464</v>
      </c>
      <c r="C320" s="3" t="s">
        <v>18</v>
      </c>
      <c r="D320" s="3" t="s">
        <v>1432</v>
      </c>
      <c r="E320" s="3" t="s">
        <v>1523</v>
      </c>
      <c r="F320" t="s">
        <v>1524</v>
      </c>
      <c r="G320" t="s">
        <v>1525</v>
      </c>
      <c r="H320" s="7">
        <v>46035</v>
      </c>
      <c r="I320" s="7">
        <v>46056</v>
      </c>
      <c r="J320" t="s">
        <v>2554</v>
      </c>
      <c r="K320" t="str">
        <f t="shared" si="19"/>
        <v>White Notebook (XL)</v>
      </c>
      <c r="L320" t="str">
        <f t="shared" si="16"/>
        <v>Evelyn</v>
      </c>
      <c r="M320" t="str">
        <f>SUBSTITUTE(Table1[[#This Row],[Raw_Address]], ", ", " - ")</f>
        <v>Portland - OR</v>
      </c>
      <c r="N320" t="str">
        <f t="shared" si="17"/>
        <v>Q1-2026</v>
      </c>
      <c r="O320" t="str">
        <f t="shared" si="18"/>
        <v>INV/00317/JAN</v>
      </c>
    </row>
    <row r="321" spans="1:15" x14ac:dyDescent="0.35">
      <c r="A321" s="3" t="s">
        <v>1924</v>
      </c>
      <c r="B321" s="3" t="s">
        <v>1474</v>
      </c>
      <c r="C321" s="3" t="s">
        <v>1431</v>
      </c>
      <c r="D321" s="3" t="s">
        <v>1443</v>
      </c>
      <c r="E321" s="3" t="s">
        <v>1527</v>
      </c>
      <c r="F321" t="s">
        <v>1528</v>
      </c>
      <c r="G321" t="s">
        <v>1529</v>
      </c>
      <c r="H321" s="7">
        <v>46130</v>
      </c>
      <c r="I321" s="7">
        <v>46154</v>
      </c>
      <c r="J321" t="s">
        <v>2555</v>
      </c>
      <c r="K321" t="str">
        <f t="shared" si="19"/>
        <v>Gold Power Bank (S)</v>
      </c>
      <c r="L321" t="str">
        <f t="shared" si="16"/>
        <v>Scarlett</v>
      </c>
      <c r="M321" t="str">
        <f>SUBSTITUTE(Table1[[#This Row],[Raw_Address]], ", ", " - ")</f>
        <v>Las Vegas - NV</v>
      </c>
      <c r="N321" t="str">
        <f t="shared" si="17"/>
        <v>Q2-2026</v>
      </c>
      <c r="O321" t="str">
        <f t="shared" si="18"/>
        <v>INV/00318/APR</v>
      </c>
    </row>
    <row r="322" spans="1:15" x14ac:dyDescent="0.35">
      <c r="A322" s="3" t="s">
        <v>1925</v>
      </c>
      <c r="B322" s="3" t="s">
        <v>1419</v>
      </c>
      <c r="C322" s="3" t="s">
        <v>18</v>
      </c>
      <c r="D322" s="3" t="s">
        <v>1454</v>
      </c>
      <c r="E322" s="3" t="s">
        <v>1531</v>
      </c>
      <c r="F322" t="s">
        <v>1532</v>
      </c>
      <c r="G322" t="s">
        <v>1533</v>
      </c>
      <c r="H322" s="7">
        <v>46226</v>
      </c>
      <c r="I322" s="7">
        <v>46253</v>
      </c>
      <c r="J322" t="s">
        <v>2550</v>
      </c>
      <c r="K322" t="str">
        <f t="shared" si="19"/>
        <v>White Tablet (L)</v>
      </c>
      <c r="L322" t="str">
        <f t="shared" si="16"/>
        <v>Sofia</v>
      </c>
      <c r="M322" t="str">
        <f>SUBSTITUTE(Table1[[#This Row],[Raw_Address]], ", ", " - ")</f>
        <v>Chicago - IL</v>
      </c>
      <c r="N322" t="str">
        <f t="shared" si="17"/>
        <v>Q3-2026</v>
      </c>
      <c r="O322" t="str">
        <f t="shared" si="18"/>
        <v>INV/00319/JUL</v>
      </c>
    </row>
    <row r="323" spans="1:15" x14ac:dyDescent="0.35">
      <c r="A323" s="3" t="s">
        <v>1926</v>
      </c>
      <c r="B323" s="3" t="s">
        <v>1430</v>
      </c>
      <c r="C323" s="3" t="s">
        <v>1431</v>
      </c>
      <c r="D323" s="3" t="s">
        <v>1465</v>
      </c>
      <c r="E323" s="3" t="s">
        <v>1535</v>
      </c>
      <c r="F323" t="s">
        <v>1536</v>
      </c>
      <c r="G323" t="s">
        <v>1537</v>
      </c>
      <c r="H323" s="7">
        <v>46323</v>
      </c>
      <c r="I323" s="7">
        <v>46353</v>
      </c>
      <c r="J323" t="s">
        <v>2551</v>
      </c>
      <c r="K323" t="str">
        <f t="shared" si="19"/>
        <v>Gold Mouse (XS)</v>
      </c>
      <c r="L323" t="str">
        <f t="shared" si="16"/>
        <v>Priya</v>
      </c>
      <c r="M323" t="str">
        <f>SUBSTITUTE(Table1[[#This Row],[Raw_Address]], ", ", " - ")</f>
        <v>Detroit - MI</v>
      </c>
      <c r="N323" t="str">
        <f t="shared" si="17"/>
        <v>Q4-2026</v>
      </c>
      <c r="O323" t="str">
        <f t="shared" si="18"/>
        <v>INV/00320/OCT</v>
      </c>
    </row>
    <row r="324" spans="1:15" x14ac:dyDescent="0.35">
      <c r="A324" s="3" t="s">
        <v>1927</v>
      </c>
      <c r="B324" s="3" t="s">
        <v>1442</v>
      </c>
      <c r="C324" s="3" t="s">
        <v>18</v>
      </c>
      <c r="D324" s="3" t="s">
        <v>1420</v>
      </c>
      <c r="E324" s="3" t="s">
        <v>1539</v>
      </c>
      <c r="F324" t="s">
        <v>1540</v>
      </c>
      <c r="G324" t="s">
        <v>1423</v>
      </c>
      <c r="H324" s="7">
        <v>46027</v>
      </c>
      <c r="I324" s="7">
        <v>46030</v>
      </c>
      <c r="J324" t="s">
        <v>2552</v>
      </c>
      <c r="K324" t="str">
        <f t="shared" si="19"/>
        <v>White Camera (M)</v>
      </c>
      <c r="L324" t="str">
        <f t="shared" si="16"/>
        <v>Kabir</v>
      </c>
      <c r="M324" t="str">
        <f>SUBSTITUTE(Table1[[#This Row],[Raw_Address]], ", ", " - ")</f>
        <v>Boston - MA</v>
      </c>
      <c r="N324" t="str">
        <f t="shared" si="17"/>
        <v>Q1-2026</v>
      </c>
      <c r="O324" t="str">
        <f t="shared" si="18"/>
        <v>INV/00321/JAN</v>
      </c>
    </row>
    <row r="325" spans="1:15" x14ac:dyDescent="0.35">
      <c r="A325" s="3" t="s">
        <v>1928</v>
      </c>
      <c r="B325" s="3" t="s">
        <v>1453</v>
      </c>
      <c r="C325" s="3" t="s">
        <v>1431</v>
      </c>
      <c r="D325" s="3" t="s">
        <v>1432</v>
      </c>
      <c r="E325" s="3" t="s">
        <v>1542</v>
      </c>
      <c r="F325" t="s">
        <v>1543</v>
      </c>
      <c r="G325" t="s">
        <v>1435</v>
      </c>
      <c r="H325" s="7">
        <v>46122</v>
      </c>
      <c r="I325" s="7">
        <v>46128</v>
      </c>
      <c r="J325" t="s">
        <v>2553</v>
      </c>
      <c r="K325" t="str">
        <f t="shared" si="19"/>
        <v>Gold Desk Lamp (XL)</v>
      </c>
      <c r="L325" t="str">
        <f t="shared" si="16"/>
        <v>Fatima</v>
      </c>
      <c r="M325" t="str">
        <f>SUBSTITUTE(Table1[[#This Row],[Raw_Address]], ", ", " - ")</f>
        <v>Columbus - OH</v>
      </c>
      <c r="N325" t="str">
        <f t="shared" si="17"/>
        <v>Q2-2026</v>
      </c>
      <c r="O325" t="str">
        <f t="shared" si="18"/>
        <v>INV/00322/APR</v>
      </c>
    </row>
    <row r="326" spans="1:15" x14ac:dyDescent="0.35">
      <c r="A326" s="3" t="s">
        <v>1929</v>
      </c>
      <c r="B326" s="3" t="s">
        <v>1464</v>
      </c>
      <c r="C326" s="3" t="s">
        <v>18</v>
      </c>
      <c r="D326" s="3" t="s">
        <v>1443</v>
      </c>
      <c r="E326" s="3" t="s">
        <v>1545</v>
      </c>
      <c r="F326" t="s">
        <v>1546</v>
      </c>
      <c r="G326" t="s">
        <v>1446</v>
      </c>
      <c r="H326" s="7">
        <v>46218</v>
      </c>
      <c r="I326" s="7">
        <v>46227</v>
      </c>
      <c r="J326" t="s">
        <v>2554</v>
      </c>
      <c r="K326" t="str">
        <f t="shared" si="19"/>
        <v>White Notebook (S)</v>
      </c>
      <c r="L326" t="str">
        <f t="shared" si="16"/>
        <v>Grace</v>
      </c>
      <c r="M326" t="str">
        <f>SUBSTITUTE(Table1[[#This Row],[Raw_Address]], ", ", " - ")</f>
        <v>Denver - CO</v>
      </c>
      <c r="N326" t="str">
        <f t="shared" si="17"/>
        <v>Q3-2026</v>
      </c>
      <c r="O326" t="str">
        <f t="shared" si="18"/>
        <v>INV/00323/JUL</v>
      </c>
    </row>
    <row r="327" spans="1:15" x14ac:dyDescent="0.35">
      <c r="A327" s="3" t="s">
        <v>1930</v>
      </c>
      <c r="B327" s="3" t="s">
        <v>1474</v>
      </c>
      <c r="C327" s="3" t="s">
        <v>1431</v>
      </c>
      <c r="D327" s="3" t="s">
        <v>1454</v>
      </c>
      <c r="E327" s="3" t="s">
        <v>1548</v>
      </c>
      <c r="F327" t="s">
        <v>1549</v>
      </c>
      <c r="G327" t="s">
        <v>1457</v>
      </c>
      <c r="H327" s="7">
        <v>46315</v>
      </c>
      <c r="I327" s="7">
        <v>46327</v>
      </c>
      <c r="J327" t="s">
        <v>2555</v>
      </c>
      <c r="K327" t="str">
        <f t="shared" si="19"/>
        <v>Gold Power Bank (L)</v>
      </c>
      <c r="L327" t="str">
        <f t="shared" si="16"/>
        <v>David</v>
      </c>
      <c r="M327" t="str">
        <f>SUBSTITUTE(Table1[[#This Row],[Raw_Address]], ", ", " - ")</f>
        <v>Dallas - TX</v>
      </c>
      <c r="N327" t="str">
        <f t="shared" si="17"/>
        <v>Q4-2026</v>
      </c>
      <c r="O327" t="str">
        <f t="shared" si="18"/>
        <v>INV/00324/OCT</v>
      </c>
    </row>
    <row r="328" spans="1:15" x14ac:dyDescent="0.35">
      <c r="A328" s="3" t="s">
        <v>1931</v>
      </c>
      <c r="B328" s="3" t="s">
        <v>1419</v>
      </c>
      <c r="C328" s="3" t="s">
        <v>18</v>
      </c>
      <c r="D328" s="3" t="s">
        <v>1465</v>
      </c>
      <c r="E328" s="3" t="s">
        <v>1551</v>
      </c>
      <c r="F328" t="s">
        <v>1552</v>
      </c>
      <c r="G328" t="s">
        <v>1468</v>
      </c>
      <c r="H328" s="7">
        <v>46047</v>
      </c>
      <c r="I328" s="7">
        <v>46062</v>
      </c>
      <c r="J328" t="s">
        <v>2550</v>
      </c>
      <c r="K328" t="str">
        <f t="shared" si="19"/>
        <v>White Tablet (XS)</v>
      </c>
      <c r="L328" t="str">
        <f t="shared" si="16"/>
        <v>Anaya</v>
      </c>
      <c r="M328" t="str">
        <f>SUBSTITUTE(Table1[[#This Row],[Raw_Address]], ", ", " - ")</f>
        <v>Seattle - WA</v>
      </c>
      <c r="N328" t="str">
        <f t="shared" si="17"/>
        <v>Q1-2026</v>
      </c>
      <c r="O328" t="str">
        <f t="shared" si="18"/>
        <v>INV/00325/JAN</v>
      </c>
    </row>
    <row r="329" spans="1:15" x14ac:dyDescent="0.35">
      <c r="A329" s="3" t="s">
        <v>1932</v>
      </c>
      <c r="B329" s="3" t="s">
        <v>1430</v>
      </c>
      <c r="C329" s="3" t="s">
        <v>1431</v>
      </c>
      <c r="D329" s="3" t="s">
        <v>1420</v>
      </c>
      <c r="E329" s="3" t="s">
        <v>1554</v>
      </c>
      <c r="F329" t="s">
        <v>1555</v>
      </c>
      <c r="G329" t="s">
        <v>1477</v>
      </c>
      <c r="H329" s="7">
        <v>46114</v>
      </c>
      <c r="I329" s="7">
        <v>46132</v>
      </c>
      <c r="J329" t="s">
        <v>2551</v>
      </c>
      <c r="K329" t="str">
        <f t="shared" si="19"/>
        <v>Gold Mouse (M)</v>
      </c>
      <c r="L329" t="str">
        <f t="shared" si="16"/>
        <v>Emma</v>
      </c>
      <c r="M329" t="str">
        <f>SUBSTITUTE(Table1[[#This Row],[Raw_Address]], ", ", " - ")</f>
        <v>Nashville - TN</v>
      </c>
      <c r="N329" t="str">
        <f t="shared" si="17"/>
        <v>Q2-2026</v>
      </c>
      <c r="O329" t="str">
        <f t="shared" si="18"/>
        <v>INV/00326/APR</v>
      </c>
    </row>
    <row r="330" spans="1:15" x14ac:dyDescent="0.35">
      <c r="A330" s="3" t="s">
        <v>1933</v>
      </c>
      <c r="B330" s="3" t="s">
        <v>1442</v>
      </c>
      <c r="C330" s="3" t="s">
        <v>18</v>
      </c>
      <c r="D330" s="3" t="s">
        <v>1432</v>
      </c>
      <c r="E330" s="3" t="s">
        <v>1557</v>
      </c>
      <c r="F330" t="s">
        <v>1558</v>
      </c>
      <c r="G330" t="s">
        <v>1485</v>
      </c>
      <c r="H330" s="7">
        <v>46210</v>
      </c>
      <c r="I330" s="7">
        <v>46231</v>
      </c>
      <c r="J330" t="s">
        <v>2552</v>
      </c>
      <c r="K330" t="str">
        <f t="shared" si="19"/>
        <v>White Camera (XL)</v>
      </c>
      <c r="L330" t="str">
        <f t="shared" si="16"/>
        <v>Mason</v>
      </c>
      <c r="M330" t="str">
        <f>SUBSTITUTE(Table1[[#This Row],[Raw_Address]], ", ", " - ")</f>
        <v>Minneapolis - MN</v>
      </c>
      <c r="N330" t="str">
        <f t="shared" si="17"/>
        <v>Q3-2026</v>
      </c>
      <c r="O330" t="str">
        <f t="shared" si="18"/>
        <v>INV/00327/JUL</v>
      </c>
    </row>
    <row r="331" spans="1:15" x14ac:dyDescent="0.35">
      <c r="A331" s="3" t="s">
        <v>1934</v>
      </c>
      <c r="B331" s="3" t="s">
        <v>1453</v>
      </c>
      <c r="C331" s="3" t="s">
        <v>1431</v>
      </c>
      <c r="D331" s="3" t="s">
        <v>1443</v>
      </c>
      <c r="E331" s="3" t="s">
        <v>1560</v>
      </c>
      <c r="F331" t="s">
        <v>1561</v>
      </c>
      <c r="G331" t="s">
        <v>1489</v>
      </c>
      <c r="H331" s="7">
        <v>46307</v>
      </c>
      <c r="I331" s="7">
        <v>46331</v>
      </c>
      <c r="J331" t="s">
        <v>2553</v>
      </c>
      <c r="K331" t="str">
        <f t="shared" si="19"/>
        <v>Gold Desk Lamp (S)</v>
      </c>
      <c r="L331" t="str">
        <f t="shared" ref="L331:L394" si="20">REPLACE(F331, 1, FIND(", ", F331) + 1, "")</f>
        <v>Amelia</v>
      </c>
      <c r="M331" t="str">
        <f>SUBSTITUTE(Table1[[#This Row],[Raw_Address]], ", ", " - ")</f>
        <v>Atlanta - GA</v>
      </c>
      <c r="N331" t="str">
        <f t="shared" ref="N331:N394" si="21">"Q" &amp; ROUNDUP(MONTH(H331)/3, 0) &amp; "-" &amp; YEAR(H331)</f>
        <v>Q4-2026</v>
      </c>
      <c r="O331" t="str">
        <f t="shared" ref="O331:O394" si="22">"INV/" &amp; RIGHT(A331, 5) &amp; "/" &amp; UPPER(TEXT(H331, "mmm"))</f>
        <v>INV/00328/OCT</v>
      </c>
    </row>
    <row r="332" spans="1:15" x14ac:dyDescent="0.35">
      <c r="A332" s="3" t="s">
        <v>1935</v>
      </c>
      <c r="B332" s="3" t="s">
        <v>1464</v>
      </c>
      <c r="C332" s="3" t="s">
        <v>18</v>
      </c>
      <c r="D332" s="3" t="s">
        <v>1454</v>
      </c>
      <c r="E332" s="3" t="s">
        <v>1563</v>
      </c>
      <c r="F332" t="s">
        <v>1564</v>
      </c>
      <c r="G332" t="s">
        <v>1493</v>
      </c>
      <c r="H332" s="7">
        <v>46039</v>
      </c>
      <c r="I332" s="7">
        <v>46066</v>
      </c>
      <c r="J332" t="s">
        <v>2554</v>
      </c>
      <c r="K332" t="str">
        <f t="shared" ref="K332:K395" si="23">C332 &amp; " " &amp; B332 &amp; " (" &amp; D332 &amp; ")"</f>
        <v>White Notebook (L)</v>
      </c>
      <c r="L332" t="str">
        <f t="shared" si="20"/>
        <v>Charlotte</v>
      </c>
      <c r="M332" t="str">
        <f>SUBSTITUTE(Table1[[#This Row],[Raw_Address]], ", ", " - ")</f>
        <v>Tampa - FL</v>
      </c>
      <c r="N332" t="str">
        <f t="shared" si="21"/>
        <v>Q1-2026</v>
      </c>
      <c r="O332" t="str">
        <f t="shared" si="22"/>
        <v>INV/00329/JAN</v>
      </c>
    </row>
    <row r="333" spans="1:15" x14ac:dyDescent="0.35">
      <c r="A333" s="3" t="s">
        <v>1936</v>
      </c>
      <c r="B333" s="3" t="s">
        <v>1474</v>
      </c>
      <c r="C333" s="3" t="s">
        <v>1431</v>
      </c>
      <c r="D333" s="3" t="s">
        <v>1465</v>
      </c>
      <c r="E333" s="3" t="s">
        <v>1566</v>
      </c>
      <c r="F333" t="s">
        <v>1567</v>
      </c>
      <c r="G333" t="s">
        <v>1497</v>
      </c>
      <c r="H333" s="7">
        <v>46134</v>
      </c>
      <c r="I333" s="7">
        <v>46164</v>
      </c>
      <c r="J333" t="s">
        <v>2555</v>
      </c>
      <c r="K333" t="str">
        <f t="shared" si="23"/>
        <v>Gold Power Bank (XS)</v>
      </c>
      <c r="L333" t="str">
        <f t="shared" si="20"/>
        <v>Henry</v>
      </c>
      <c r="M333" t="str">
        <f>SUBSTITUTE(Table1[[#This Row],[Raw_Address]], ", ", " - ")</f>
        <v>Phoenix - AZ</v>
      </c>
      <c r="N333" t="str">
        <f t="shared" si="21"/>
        <v>Q2-2026</v>
      </c>
      <c r="O333" t="str">
        <f t="shared" si="22"/>
        <v>INV/00330/APR</v>
      </c>
    </row>
    <row r="334" spans="1:15" x14ac:dyDescent="0.35">
      <c r="A334" s="3" t="s">
        <v>1937</v>
      </c>
      <c r="B334" s="3" t="s">
        <v>1419</v>
      </c>
      <c r="C334" s="3" t="s">
        <v>18</v>
      </c>
      <c r="D334" s="3" t="s">
        <v>1420</v>
      </c>
      <c r="E334" s="3" t="s">
        <v>1421</v>
      </c>
      <c r="F334" t="s">
        <v>1569</v>
      </c>
      <c r="G334" t="s">
        <v>1501</v>
      </c>
      <c r="H334" s="7">
        <v>46230</v>
      </c>
      <c r="I334" s="7">
        <v>46233</v>
      </c>
      <c r="J334" t="s">
        <v>2550</v>
      </c>
      <c r="K334" t="str">
        <f t="shared" si="23"/>
        <v>White Tablet (M)</v>
      </c>
      <c r="L334" t="str">
        <f t="shared" si="20"/>
        <v>Michael</v>
      </c>
      <c r="M334" t="str">
        <f>SUBSTITUTE(Table1[[#This Row],[Raw_Address]], ", ", " - ")</f>
        <v>Raleigh - NC</v>
      </c>
      <c r="N334" t="str">
        <f t="shared" si="21"/>
        <v>Q3-2026</v>
      </c>
      <c r="O334" t="str">
        <f t="shared" si="22"/>
        <v>INV/00331/JUL</v>
      </c>
    </row>
    <row r="335" spans="1:15" x14ac:dyDescent="0.35">
      <c r="A335" s="3" t="s">
        <v>1938</v>
      </c>
      <c r="B335" s="3" t="s">
        <v>1430</v>
      </c>
      <c r="C335" s="3" t="s">
        <v>1431</v>
      </c>
      <c r="D335" s="3" t="s">
        <v>1432</v>
      </c>
      <c r="E335" s="3" t="s">
        <v>1433</v>
      </c>
      <c r="F335" t="s">
        <v>1571</v>
      </c>
      <c r="G335" t="s">
        <v>1505</v>
      </c>
      <c r="H335" s="7">
        <v>46299</v>
      </c>
      <c r="I335" s="7">
        <v>46305</v>
      </c>
      <c r="J335" t="s">
        <v>2551</v>
      </c>
      <c r="K335" t="str">
        <f t="shared" si="23"/>
        <v>Gold Mouse (XL)</v>
      </c>
      <c r="L335" t="str">
        <f t="shared" si="20"/>
        <v>Mateo</v>
      </c>
      <c r="M335" t="str">
        <f>SUBSTITUTE(Table1[[#This Row],[Raw_Address]], ", ", " - ")</f>
        <v>Miami - FL</v>
      </c>
      <c r="N335" t="str">
        <f t="shared" si="21"/>
        <v>Q4-2026</v>
      </c>
      <c r="O335" t="str">
        <f t="shared" si="22"/>
        <v>INV/00332/OCT</v>
      </c>
    </row>
    <row r="336" spans="1:15" x14ac:dyDescent="0.35">
      <c r="A336" s="3" t="s">
        <v>1939</v>
      </c>
      <c r="B336" s="3" t="s">
        <v>1442</v>
      </c>
      <c r="C336" s="3" t="s">
        <v>18</v>
      </c>
      <c r="D336" s="3" t="s">
        <v>1443</v>
      </c>
      <c r="E336" s="3" t="s">
        <v>1444</v>
      </c>
      <c r="F336" t="s">
        <v>1573</v>
      </c>
      <c r="G336" t="s">
        <v>1509</v>
      </c>
      <c r="H336" s="7">
        <v>46031</v>
      </c>
      <c r="I336" s="7">
        <v>46040</v>
      </c>
      <c r="J336" t="s">
        <v>2552</v>
      </c>
      <c r="K336" t="str">
        <f t="shared" si="23"/>
        <v>White Camera (S)</v>
      </c>
      <c r="L336" t="str">
        <f t="shared" si="20"/>
        <v>Sana</v>
      </c>
      <c r="M336" t="str">
        <f>SUBSTITUTE(Table1[[#This Row],[Raw_Address]], ", ", " - ")</f>
        <v>Charlotte - NC</v>
      </c>
      <c r="N336" t="str">
        <f t="shared" si="21"/>
        <v>Q1-2026</v>
      </c>
      <c r="O336" t="str">
        <f t="shared" si="22"/>
        <v>INV/00333/JAN</v>
      </c>
    </row>
    <row r="337" spans="1:15" x14ac:dyDescent="0.35">
      <c r="A337" s="3" t="s">
        <v>1940</v>
      </c>
      <c r="B337" s="3" t="s">
        <v>1453</v>
      </c>
      <c r="C337" s="3" t="s">
        <v>1431</v>
      </c>
      <c r="D337" s="3" t="s">
        <v>1454</v>
      </c>
      <c r="E337" s="3" t="s">
        <v>1455</v>
      </c>
      <c r="F337" t="s">
        <v>1575</v>
      </c>
      <c r="G337" t="s">
        <v>1513</v>
      </c>
      <c r="H337" s="7">
        <v>46126</v>
      </c>
      <c r="I337" s="7">
        <v>46138</v>
      </c>
      <c r="J337" t="s">
        <v>2553</v>
      </c>
      <c r="K337" t="str">
        <f t="shared" si="23"/>
        <v>Gold Desk Lamp (L)</v>
      </c>
      <c r="L337" t="str">
        <f t="shared" si="20"/>
        <v>Omar</v>
      </c>
      <c r="M337" t="str">
        <f>SUBSTITUTE(Table1[[#This Row],[Raw_Address]], ", ", " - ")</f>
        <v>Austin - TX</v>
      </c>
      <c r="N337" t="str">
        <f t="shared" si="21"/>
        <v>Q2-2026</v>
      </c>
      <c r="O337" t="str">
        <f t="shared" si="22"/>
        <v>INV/00334/APR</v>
      </c>
    </row>
    <row r="338" spans="1:15" x14ac:dyDescent="0.35">
      <c r="A338" s="3" t="s">
        <v>1941</v>
      </c>
      <c r="B338" s="3" t="s">
        <v>1464</v>
      </c>
      <c r="C338" s="3" t="s">
        <v>18</v>
      </c>
      <c r="D338" s="3" t="s">
        <v>1465</v>
      </c>
      <c r="E338" s="3" t="s">
        <v>1466</v>
      </c>
      <c r="F338" t="s">
        <v>1577</v>
      </c>
      <c r="G338" t="s">
        <v>1517</v>
      </c>
      <c r="H338" s="7">
        <v>46222</v>
      </c>
      <c r="I338" s="7">
        <v>46237</v>
      </c>
      <c r="J338" t="s">
        <v>2554</v>
      </c>
      <c r="K338" t="str">
        <f t="shared" si="23"/>
        <v>White Notebook (XS)</v>
      </c>
      <c r="L338" t="str">
        <f t="shared" si="20"/>
        <v>Nina</v>
      </c>
      <c r="M338" t="str">
        <f>SUBSTITUTE(Table1[[#This Row],[Raw_Address]], ", ", " - ")</f>
        <v>San Diego - CA</v>
      </c>
      <c r="N338" t="str">
        <f t="shared" si="21"/>
        <v>Q3-2026</v>
      </c>
      <c r="O338" t="str">
        <f t="shared" si="22"/>
        <v>INV/00335/JUL</v>
      </c>
    </row>
    <row r="339" spans="1:15" x14ac:dyDescent="0.35">
      <c r="A339" s="3" t="s">
        <v>1942</v>
      </c>
      <c r="B339" s="3" t="s">
        <v>1474</v>
      </c>
      <c r="C339" s="3" t="s">
        <v>1431</v>
      </c>
      <c r="D339" s="3" t="s">
        <v>1420</v>
      </c>
      <c r="E339" s="3" t="s">
        <v>1475</v>
      </c>
      <c r="F339" t="s">
        <v>1579</v>
      </c>
      <c r="G339" t="s">
        <v>1521</v>
      </c>
      <c r="H339" s="7">
        <v>46319</v>
      </c>
      <c r="I339" s="7">
        <v>46337</v>
      </c>
      <c r="J339" t="s">
        <v>2555</v>
      </c>
      <c r="K339" t="str">
        <f t="shared" si="23"/>
        <v>Gold Power Bank (M)</v>
      </c>
      <c r="L339" t="str">
        <f t="shared" si="20"/>
        <v>Jack</v>
      </c>
      <c r="M339" t="str">
        <f>SUBSTITUTE(Table1[[#This Row],[Raw_Address]], ", ", " - ")</f>
        <v>Kansas City - MO</v>
      </c>
      <c r="N339" t="str">
        <f t="shared" si="21"/>
        <v>Q4-2026</v>
      </c>
      <c r="O339" t="str">
        <f t="shared" si="22"/>
        <v>INV/00336/OCT</v>
      </c>
    </row>
    <row r="340" spans="1:15" x14ac:dyDescent="0.35">
      <c r="A340" s="3" t="s">
        <v>1943</v>
      </c>
      <c r="B340" s="3" t="s">
        <v>1419</v>
      </c>
      <c r="C340" s="3" t="s">
        <v>18</v>
      </c>
      <c r="D340" s="3" t="s">
        <v>1432</v>
      </c>
      <c r="E340" s="3" t="s">
        <v>1483</v>
      </c>
      <c r="F340" t="s">
        <v>1581</v>
      </c>
      <c r="G340" t="s">
        <v>1525</v>
      </c>
      <c r="H340" s="7">
        <v>46023</v>
      </c>
      <c r="I340" s="7">
        <v>46044</v>
      </c>
      <c r="J340" t="s">
        <v>2550</v>
      </c>
      <c r="K340" t="str">
        <f t="shared" si="23"/>
        <v>White Tablet (XL)</v>
      </c>
      <c r="L340" t="str">
        <f t="shared" si="20"/>
        <v>Victor</v>
      </c>
      <c r="M340" t="str">
        <f>SUBSTITUTE(Table1[[#This Row],[Raw_Address]], ", ", " - ")</f>
        <v>Portland - OR</v>
      </c>
      <c r="N340" t="str">
        <f t="shared" si="21"/>
        <v>Q1-2026</v>
      </c>
      <c r="O340" t="str">
        <f t="shared" si="22"/>
        <v>INV/00337/JAN</v>
      </c>
    </row>
    <row r="341" spans="1:15" x14ac:dyDescent="0.35">
      <c r="A341" s="3" t="s">
        <v>1944</v>
      </c>
      <c r="B341" s="3" t="s">
        <v>1430</v>
      </c>
      <c r="C341" s="3" t="s">
        <v>1431</v>
      </c>
      <c r="D341" s="3" t="s">
        <v>1443</v>
      </c>
      <c r="E341" s="3" t="s">
        <v>1487</v>
      </c>
      <c r="F341" t="s">
        <v>1583</v>
      </c>
      <c r="G341" t="s">
        <v>1529</v>
      </c>
      <c r="H341" s="7">
        <v>46118</v>
      </c>
      <c r="I341" s="7">
        <v>46142</v>
      </c>
      <c r="J341" t="s">
        <v>2551</v>
      </c>
      <c r="K341" t="str">
        <f t="shared" si="23"/>
        <v>Gold Mouse (S)</v>
      </c>
      <c r="L341" t="str">
        <f t="shared" si="20"/>
        <v>Liam</v>
      </c>
      <c r="M341" t="str">
        <f>SUBSTITUTE(Table1[[#This Row],[Raw_Address]], ", ", " - ")</f>
        <v>Las Vegas - NV</v>
      </c>
      <c r="N341" t="str">
        <f t="shared" si="21"/>
        <v>Q2-2026</v>
      </c>
      <c r="O341" t="str">
        <f t="shared" si="22"/>
        <v>INV/00338/APR</v>
      </c>
    </row>
    <row r="342" spans="1:15" x14ac:dyDescent="0.35">
      <c r="A342" s="3" t="s">
        <v>1945</v>
      </c>
      <c r="B342" s="3" t="s">
        <v>1442</v>
      </c>
      <c r="C342" s="3" t="s">
        <v>18</v>
      </c>
      <c r="D342" s="3" t="s">
        <v>1454</v>
      </c>
      <c r="E342" s="3" t="s">
        <v>1491</v>
      </c>
      <c r="F342" t="s">
        <v>1585</v>
      </c>
      <c r="G342" t="s">
        <v>1533</v>
      </c>
      <c r="H342" s="7">
        <v>46214</v>
      </c>
      <c r="I342" s="7">
        <v>46241</v>
      </c>
      <c r="J342" t="s">
        <v>2552</v>
      </c>
      <c r="K342" t="str">
        <f t="shared" si="23"/>
        <v>White Camera (L)</v>
      </c>
      <c r="L342" t="str">
        <f t="shared" si="20"/>
        <v>Elijah</v>
      </c>
      <c r="M342" t="str">
        <f>SUBSTITUTE(Table1[[#This Row],[Raw_Address]], ", ", " - ")</f>
        <v>Chicago - IL</v>
      </c>
      <c r="N342" t="str">
        <f t="shared" si="21"/>
        <v>Q3-2026</v>
      </c>
      <c r="O342" t="str">
        <f t="shared" si="22"/>
        <v>INV/00339/JUL</v>
      </c>
    </row>
    <row r="343" spans="1:15" x14ac:dyDescent="0.35">
      <c r="A343" s="3" t="s">
        <v>1946</v>
      </c>
      <c r="B343" s="3" t="s">
        <v>1453</v>
      </c>
      <c r="C343" s="3" t="s">
        <v>1431</v>
      </c>
      <c r="D343" s="3" t="s">
        <v>1465</v>
      </c>
      <c r="E343" s="3" t="s">
        <v>1495</v>
      </c>
      <c r="F343" t="s">
        <v>1587</v>
      </c>
      <c r="G343" t="s">
        <v>1537</v>
      </c>
      <c r="H343" s="7">
        <v>46311</v>
      </c>
      <c r="I343" s="7">
        <v>46341</v>
      </c>
      <c r="J343" t="s">
        <v>2553</v>
      </c>
      <c r="K343" t="str">
        <f t="shared" si="23"/>
        <v>Gold Desk Lamp (XS)</v>
      </c>
      <c r="L343" t="str">
        <f t="shared" si="20"/>
        <v>Lucas</v>
      </c>
      <c r="M343" t="str">
        <f>SUBSTITUTE(Table1[[#This Row],[Raw_Address]], ", ", " - ")</f>
        <v>Detroit - MI</v>
      </c>
      <c r="N343" t="str">
        <f t="shared" si="21"/>
        <v>Q4-2026</v>
      </c>
      <c r="O343" t="str">
        <f t="shared" si="22"/>
        <v>INV/00340/OCT</v>
      </c>
    </row>
    <row r="344" spans="1:15" x14ac:dyDescent="0.35">
      <c r="A344" s="3" t="s">
        <v>1947</v>
      </c>
      <c r="B344" s="3" t="s">
        <v>1464</v>
      </c>
      <c r="C344" s="3" t="s">
        <v>18</v>
      </c>
      <c r="D344" s="3" t="s">
        <v>1420</v>
      </c>
      <c r="E344" s="3" t="s">
        <v>1499</v>
      </c>
      <c r="F344" t="s">
        <v>1589</v>
      </c>
      <c r="G344" t="s">
        <v>1423</v>
      </c>
      <c r="H344" s="7">
        <v>46043</v>
      </c>
      <c r="I344" s="7">
        <v>46046</v>
      </c>
      <c r="J344" t="s">
        <v>2554</v>
      </c>
      <c r="K344" t="str">
        <f t="shared" si="23"/>
        <v>White Notebook (M)</v>
      </c>
      <c r="L344" t="str">
        <f t="shared" si="20"/>
        <v>Ethan</v>
      </c>
      <c r="M344" t="str">
        <f>SUBSTITUTE(Table1[[#This Row],[Raw_Address]], ", ", " - ")</f>
        <v>Boston - MA</v>
      </c>
      <c r="N344" t="str">
        <f t="shared" si="21"/>
        <v>Q1-2026</v>
      </c>
      <c r="O344" t="str">
        <f t="shared" si="22"/>
        <v>INV/00341/JAN</v>
      </c>
    </row>
    <row r="345" spans="1:15" x14ac:dyDescent="0.35">
      <c r="A345" s="3" t="s">
        <v>1948</v>
      </c>
      <c r="B345" s="3" t="s">
        <v>1474</v>
      </c>
      <c r="C345" s="3" t="s">
        <v>1431</v>
      </c>
      <c r="D345" s="3" t="s">
        <v>1432</v>
      </c>
      <c r="E345" s="3" t="s">
        <v>1503</v>
      </c>
      <c r="F345" t="s">
        <v>1591</v>
      </c>
      <c r="G345" t="s">
        <v>1435</v>
      </c>
      <c r="H345" s="7">
        <v>46138</v>
      </c>
      <c r="I345" s="7">
        <v>46144</v>
      </c>
      <c r="J345" t="s">
        <v>2555</v>
      </c>
      <c r="K345" t="str">
        <f t="shared" si="23"/>
        <v>Gold Power Bank (XL)</v>
      </c>
      <c r="L345" t="str">
        <f t="shared" si="20"/>
        <v>Evelyn</v>
      </c>
      <c r="M345" t="str">
        <f>SUBSTITUTE(Table1[[#This Row],[Raw_Address]], ", ", " - ")</f>
        <v>Columbus - OH</v>
      </c>
      <c r="N345" t="str">
        <f t="shared" si="21"/>
        <v>Q2-2026</v>
      </c>
      <c r="O345" t="str">
        <f t="shared" si="22"/>
        <v>INV/00342/APR</v>
      </c>
    </row>
    <row r="346" spans="1:15" x14ac:dyDescent="0.35">
      <c r="A346" s="3" t="s">
        <v>1949</v>
      </c>
      <c r="B346" s="3" t="s">
        <v>1419</v>
      </c>
      <c r="C346" s="3" t="s">
        <v>18</v>
      </c>
      <c r="D346" s="3" t="s">
        <v>1443</v>
      </c>
      <c r="E346" s="3" t="s">
        <v>1507</v>
      </c>
      <c r="F346" t="s">
        <v>1593</v>
      </c>
      <c r="G346" t="s">
        <v>1446</v>
      </c>
      <c r="H346" s="7">
        <v>46206</v>
      </c>
      <c r="I346" s="7">
        <v>46215</v>
      </c>
      <c r="J346" t="s">
        <v>2550</v>
      </c>
      <c r="K346" t="str">
        <f t="shared" si="23"/>
        <v>White Tablet (S)</v>
      </c>
      <c r="L346" t="str">
        <f t="shared" si="20"/>
        <v>Scarlett</v>
      </c>
      <c r="M346" t="str">
        <f>SUBSTITUTE(Table1[[#This Row],[Raw_Address]], ", ", " - ")</f>
        <v>Denver - CO</v>
      </c>
      <c r="N346" t="str">
        <f t="shared" si="21"/>
        <v>Q3-2026</v>
      </c>
      <c r="O346" t="str">
        <f t="shared" si="22"/>
        <v>INV/00343/JUL</v>
      </c>
    </row>
    <row r="347" spans="1:15" x14ac:dyDescent="0.35">
      <c r="A347" s="3" t="s">
        <v>1950</v>
      </c>
      <c r="B347" s="3" t="s">
        <v>1430</v>
      </c>
      <c r="C347" s="3" t="s">
        <v>1431</v>
      </c>
      <c r="D347" s="3" t="s">
        <v>1454</v>
      </c>
      <c r="E347" s="3" t="s">
        <v>1511</v>
      </c>
      <c r="F347" t="s">
        <v>1595</v>
      </c>
      <c r="G347" t="s">
        <v>1457</v>
      </c>
      <c r="H347" s="7">
        <v>46303</v>
      </c>
      <c r="I347" s="7">
        <v>46315</v>
      </c>
      <c r="J347" t="s">
        <v>2551</v>
      </c>
      <c r="K347" t="str">
        <f t="shared" si="23"/>
        <v>Gold Mouse (L)</v>
      </c>
      <c r="L347" t="str">
        <f t="shared" si="20"/>
        <v>Sofia</v>
      </c>
      <c r="M347" t="str">
        <f>SUBSTITUTE(Table1[[#This Row],[Raw_Address]], ", ", " - ")</f>
        <v>Dallas - TX</v>
      </c>
      <c r="N347" t="str">
        <f t="shared" si="21"/>
        <v>Q4-2026</v>
      </c>
      <c r="O347" t="str">
        <f t="shared" si="22"/>
        <v>INV/00344/OCT</v>
      </c>
    </row>
    <row r="348" spans="1:15" x14ac:dyDescent="0.35">
      <c r="A348" s="3" t="s">
        <v>1951</v>
      </c>
      <c r="B348" s="3" t="s">
        <v>1442</v>
      </c>
      <c r="C348" s="3" t="s">
        <v>18</v>
      </c>
      <c r="D348" s="3" t="s">
        <v>1465</v>
      </c>
      <c r="E348" s="3" t="s">
        <v>1515</v>
      </c>
      <c r="F348" t="s">
        <v>1597</v>
      </c>
      <c r="G348" t="s">
        <v>1468</v>
      </c>
      <c r="H348" s="7">
        <v>46035</v>
      </c>
      <c r="I348" s="7">
        <v>46050</v>
      </c>
      <c r="J348" t="s">
        <v>2552</v>
      </c>
      <c r="K348" t="str">
        <f t="shared" si="23"/>
        <v>White Camera (XS)</v>
      </c>
      <c r="L348" t="str">
        <f t="shared" si="20"/>
        <v>Priya</v>
      </c>
      <c r="M348" t="str">
        <f>SUBSTITUTE(Table1[[#This Row],[Raw_Address]], ", ", " - ")</f>
        <v>Seattle - WA</v>
      </c>
      <c r="N348" t="str">
        <f t="shared" si="21"/>
        <v>Q1-2026</v>
      </c>
      <c r="O348" t="str">
        <f t="shared" si="22"/>
        <v>INV/00345/JAN</v>
      </c>
    </row>
    <row r="349" spans="1:15" x14ac:dyDescent="0.35">
      <c r="A349" s="3" t="s">
        <v>1952</v>
      </c>
      <c r="B349" s="3" t="s">
        <v>1453</v>
      </c>
      <c r="C349" s="3" t="s">
        <v>1431</v>
      </c>
      <c r="D349" s="3" t="s">
        <v>1420</v>
      </c>
      <c r="E349" s="3" t="s">
        <v>1519</v>
      </c>
      <c r="F349" t="s">
        <v>1599</v>
      </c>
      <c r="G349" t="s">
        <v>1477</v>
      </c>
      <c r="H349" s="7">
        <v>46130</v>
      </c>
      <c r="I349" s="7">
        <v>46148</v>
      </c>
      <c r="J349" t="s">
        <v>2553</v>
      </c>
      <c r="K349" t="str">
        <f t="shared" si="23"/>
        <v>Gold Desk Lamp (M)</v>
      </c>
      <c r="L349" t="str">
        <f t="shared" si="20"/>
        <v>Kabir</v>
      </c>
      <c r="M349" t="str">
        <f>SUBSTITUTE(Table1[[#This Row],[Raw_Address]], ", ", " - ")</f>
        <v>Nashville - TN</v>
      </c>
      <c r="N349" t="str">
        <f t="shared" si="21"/>
        <v>Q2-2026</v>
      </c>
      <c r="O349" t="str">
        <f t="shared" si="22"/>
        <v>INV/00346/APR</v>
      </c>
    </row>
    <row r="350" spans="1:15" x14ac:dyDescent="0.35">
      <c r="A350" s="3" t="s">
        <v>1953</v>
      </c>
      <c r="B350" s="3" t="s">
        <v>1464</v>
      </c>
      <c r="C350" s="3" t="s">
        <v>18</v>
      </c>
      <c r="D350" s="3" t="s">
        <v>1432</v>
      </c>
      <c r="E350" s="3" t="s">
        <v>1523</v>
      </c>
      <c r="F350" t="s">
        <v>1601</v>
      </c>
      <c r="G350" t="s">
        <v>1485</v>
      </c>
      <c r="H350" s="7">
        <v>46226</v>
      </c>
      <c r="I350" s="7">
        <v>46247</v>
      </c>
      <c r="J350" t="s">
        <v>2554</v>
      </c>
      <c r="K350" t="str">
        <f t="shared" si="23"/>
        <v>White Notebook (XL)</v>
      </c>
      <c r="L350" t="str">
        <f t="shared" si="20"/>
        <v>Fatima</v>
      </c>
      <c r="M350" t="str">
        <f>SUBSTITUTE(Table1[[#This Row],[Raw_Address]], ", ", " - ")</f>
        <v>Minneapolis - MN</v>
      </c>
      <c r="N350" t="str">
        <f t="shared" si="21"/>
        <v>Q3-2026</v>
      </c>
      <c r="O350" t="str">
        <f t="shared" si="22"/>
        <v>INV/00347/JUL</v>
      </c>
    </row>
    <row r="351" spans="1:15" x14ac:dyDescent="0.35">
      <c r="A351" s="3" t="s">
        <v>1954</v>
      </c>
      <c r="B351" s="3" t="s">
        <v>1474</v>
      </c>
      <c r="C351" s="3" t="s">
        <v>1431</v>
      </c>
      <c r="D351" s="3" t="s">
        <v>1443</v>
      </c>
      <c r="E351" s="3" t="s">
        <v>1527</v>
      </c>
      <c r="F351" t="s">
        <v>1603</v>
      </c>
      <c r="G351" t="s">
        <v>1489</v>
      </c>
      <c r="H351" s="7">
        <v>46323</v>
      </c>
      <c r="I351" s="7">
        <v>46347</v>
      </c>
      <c r="J351" t="s">
        <v>2555</v>
      </c>
      <c r="K351" t="str">
        <f t="shared" si="23"/>
        <v>Gold Power Bank (S)</v>
      </c>
      <c r="L351" t="str">
        <f t="shared" si="20"/>
        <v>Grace</v>
      </c>
      <c r="M351" t="str">
        <f>SUBSTITUTE(Table1[[#This Row],[Raw_Address]], ", ", " - ")</f>
        <v>Atlanta - GA</v>
      </c>
      <c r="N351" t="str">
        <f t="shared" si="21"/>
        <v>Q4-2026</v>
      </c>
      <c r="O351" t="str">
        <f t="shared" si="22"/>
        <v>INV/00348/OCT</v>
      </c>
    </row>
    <row r="352" spans="1:15" x14ac:dyDescent="0.35">
      <c r="A352" s="3" t="s">
        <v>1955</v>
      </c>
      <c r="B352" s="3" t="s">
        <v>1419</v>
      </c>
      <c r="C352" s="3" t="s">
        <v>18</v>
      </c>
      <c r="D352" s="3" t="s">
        <v>1454</v>
      </c>
      <c r="E352" s="3" t="s">
        <v>1531</v>
      </c>
      <c r="F352" t="s">
        <v>1605</v>
      </c>
      <c r="G352" t="s">
        <v>1493</v>
      </c>
      <c r="H352" s="7">
        <v>46027</v>
      </c>
      <c r="I352" s="7">
        <v>46054</v>
      </c>
      <c r="J352" t="s">
        <v>2550</v>
      </c>
      <c r="K352" t="str">
        <f t="shared" si="23"/>
        <v>White Tablet (L)</v>
      </c>
      <c r="L352" t="str">
        <f t="shared" si="20"/>
        <v>David</v>
      </c>
      <c r="M352" t="str">
        <f>SUBSTITUTE(Table1[[#This Row],[Raw_Address]], ", ", " - ")</f>
        <v>Tampa - FL</v>
      </c>
      <c r="N352" t="str">
        <f t="shared" si="21"/>
        <v>Q1-2026</v>
      </c>
      <c r="O352" t="str">
        <f t="shared" si="22"/>
        <v>INV/00349/JAN</v>
      </c>
    </row>
    <row r="353" spans="1:15" x14ac:dyDescent="0.35">
      <c r="A353" s="3" t="s">
        <v>1956</v>
      </c>
      <c r="B353" s="3" t="s">
        <v>1430</v>
      </c>
      <c r="C353" s="3" t="s">
        <v>1431</v>
      </c>
      <c r="D353" s="3" t="s">
        <v>1465</v>
      </c>
      <c r="E353" s="3" t="s">
        <v>1535</v>
      </c>
      <c r="F353" t="s">
        <v>1607</v>
      </c>
      <c r="G353" t="s">
        <v>1497</v>
      </c>
      <c r="H353" s="7">
        <v>46122</v>
      </c>
      <c r="I353" s="7">
        <v>46152</v>
      </c>
      <c r="J353" t="s">
        <v>2551</v>
      </c>
      <c r="K353" t="str">
        <f t="shared" si="23"/>
        <v>Gold Mouse (XS)</v>
      </c>
      <c r="L353" t="str">
        <f t="shared" si="20"/>
        <v>Anaya</v>
      </c>
      <c r="M353" t="str">
        <f>SUBSTITUTE(Table1[[#This Row],[Raw_Address]], ", ", " - ")</f>
        <v>Phoenix - AZ</v>
      </c>
      <c r="N353" t="str">
        <f t="shared" si="21"/>
        <v>Q2-2026</v>
      </c>
      <c r="O353" t="str">
        <f t="shared" si="22"/>
        <v>INV/00350/APR</v>
      </c>
    </row>
    <row r="354" spans="1:15" x14ac:dyDescent="0.35">
      <c r="A354" s="3" t="s">
        <v>1957</v>
      </c>
      <c r="B354" s="3" t="s">
        <v>1442</v>
      </c>
      <c r="C354" s="3" t="s">
        <v>18</v>
      </c>
      <c r="D354" s="3" t="s">
        <v>1420</v>
      </c>
      <c r="E354" s="3" t="s">
        <v>1539</v>
      </c>
      <c r="F354" t="s">
        <v>1609</v>
      </c>
      <c r="G354" t="s">
        <v>1501</v>
      </c>
      <c r="H354" s="7">
        <v>46218</v>
      </c>
      <c r="I354" s="7">
        <v>46221</v>
      </c>
      <c r="J354" t="s">
        <v>2552</v>
      </c>
      <c r="K354" t="str">
        <f t="shared" si="23"/>
        <v>White Camera (M)</v>
      </c>
      <c r="L354" t="str">
        <f t="shared" si="20"/>
        <v>Emma</v>
      </c>
      <c r="M354" t="str">
        <f>SUBSTITUTE(Table1[[#This Row],[Raw_Address]], ", ", " - ")</f>
        <v>Raleigh - NC</v>
      </c>
      <c r="N354" t="str">
        <f t="shared" si="21"/>
        <v>Q3-2026</v>
      </c>
      <c r="O354" t="str">
        <f t="shared" si="22"/>
        <v>INV/00351/JUL</v>
      </c>
    </row>
    <row r="355" spans="1:15" x14ac:dyDescent="0.35">
      <c r="A355" s="3" t="s">
        <v>1958</v>
      </c>
      <c r="B355" s="3" t="s">
        <v>1453</v>
      </c>
      <c r="C355" s="3" t="s">
        <v>1431</v>
      </c>
      <c r="D355" s="3" t="s">
        <v>1432</v>
      </c>
      <c r="E355" s="3" t="s">
        <v>1542</v>
      </c>
      <c r="F355" t="s">
        <v>1611</v>
      </c>
      <c r="G355" t="s">
        <v>1505</v>
      </c>
      <c r="H355" s="7">
        <v>46315</v>
      </c>
      <c r="I355" s="7">
        <v>46321</v>
      </c>
      <c r="J355" t="s">
        <v>2553</v>
      </c>
      <c r="K355" t="str">
        <f t="shared" si="23"/>
        <v>Gold Desk Lamp (XL)</v>
      </c>
      <c r="L355" t="str">
        <f t="shared" si="20"/>
        <v>Mason</v>
      </c>
      <c r="M355" t="str">
        <f>SUBSTITUTE(Table1[[#This Row],[Raw_Address]], ", ", " - ")</f>
        <v>Miami - FL</v>
      </c>
      <c r="N355" t="str">
        <f t="shared" si="21"/>
        <v>Q4-2026</v>
      </c>
      <c r="O355" t="str">
        <f t="shared" si="22"/>
        <v>INV/00352/OCT</v>
      </c>
    </row>
    <row r="356" spans="1:15" x14ac:dyDescent="0.35">
      <c r="A356" s="3" t="s">
        <v>1959</v>
      </c>
      <c r="B356" s="3" t="s">
        <v>1464</v>
      </c>
      <c r="C356" s="3" t="s">
        <v>18</v>
      </c>
      <c r="D356" s="3" t="s">
        <v>1443</v>
      </c>
      <c r="E356" s="3" t="s">
        <v>1545</v>
      </c>
      <c r="F356" t="s">
        <v>1613</v>
      </c>
      <c r="G356" t="s">
        <v>1509</v>
      </c>
      <c r="H356" s="7">
        <v>46047</v>
      </c>
      <c r="I356" s="7">
        <v>46056</v>
      </c>
      <c r="J356" t="s">
        <v>2554</v>
      </c>
      <c r="K356" t="str">
        <f t="shared" si="23"/>
        <v>White Notebook (S)</v>
      </c>
      <c r="L356" t="str">
        <f t="shared" si="20"/>
        <v>Amelia</v>
      </c>
      <c r="M356" t="str">
        <f>SUBSTITUTE(Table1[[#This Row],[Raw_Address]], ", ", " - ")</f>
        <v>Charlotte - NC</v>
      </c>
      <c r="N356" t="str">
        <f t="shared" si="21"/>
        <v>Q1-2026</v>
      </c>
      <c r="O356" t="str">
        <f t="shared" si="22"/>
        <v>INV/00353/JAN</v>
      </c>
    </row>
    <row r="357" spans="1:15" x14ac:dyDescent="0.35">
      <c r="A357" s="3" t="s">
        <v>1960</v>
      </c>
      <c r="B357" s="3" t="s">
        <v>1474</v>
      </c>
      <c r="C357" s="3" t="s">
        <v>1431</v>
      </c>
      <c r="D357" s="3" t="s">
        <v>1454</v>
      </c>
      <c r="E357" s="3" t="s">
        <v>1548</v>
      </c>
      <c r="F357" t="s">
        <v>1615</v>
      </c>
      <c r="G357" t="s">
        <v>1513</v>
      </c>
      <c r="H357" s="7">
        <v>46114</v>
      </c>
      <c r="I357" s="7">
        <v>46126</v>
      </c>
      <c r="J357" t="s">
        <v>2555</v>
      </c>
      <c r="K357" t="str">
        <f t="shared" si="23"/>
        <v>Gold Power Bank (L)</v>
      </c>
      <c r="L357" t="str">
        <f t="shared" si="20"/>
        <v>Charlotte</v>
      </c>
      <c r="M357" t="str">
        <f>SUBSTITUTE(Table1[[#This Row],[Raw_Address]], ", ", " - ")</f>
        <v>Austin - TX</v>
      </c>
      <c r="N357" t="str">
        <f t="shared" si="21"/>
        <v>Q2-2026</v>
      </c>
      <c r="O357" t="str">
        <f t="shared" si="22"/>
        <v>INV/00354/APR</v>
      </c>
    </row>
    <row r="358" spans="1:15" x14ac:dyDescent="0.35">
      <c r="A358" s="3" t="s">
        <v>1961</v>
      </c>
      <c r="B358" s="3" t="s">
        <v>1419</v>
      </c>
      <c r="C358" s="3" t="s">
        <v>18</v>
      </c>
      <c r="D358" s="3" t="s">
        <v>1465</v>
      </c>
      <c r="E358" s="3" t="s">
        <v>1551</v>
      </c>
      <c r="F358" t="s">
        <v>1617</v>
      </c>
      <c r="G358" t="s">
        <v>1517</v>
      </c>
      <c r="H358" s="7">
        <v>46210</v>
      </c>
      <c r="I358" s="7">
        <v>46225</v>
      </c>
      <c r="J358" t="s">
        <v>2550</v>
      </c>
      <c r="K358" t="str">
        <f t="shared" si="23"/>
        <v>White Tablet (XS)</v>
      </c>
      <c r="L358" t="str">
        <f t="shared" si="20"/>
        <v>Henry</v>
      </c>
      <c r="M358" t="str">
        <f>SUBSTITUTE(Table1[[#This Row],[Raw_Address]], ", ", " - ")</f>
        <v>San Diego - CA</v>
      </c>
      <c r="N358" t="str">
        <f t="shared" si="21"/>
        <v>Q3-2026</v>
      </c>
      <c r="O358" t="str">
        <f t="shared" si="22"/>
        <v>INV/00355/JUL</v>
      </c>
    </row>
    <row r="359" spans="1:15" x14ac:dyDescent="0.35">
      <c r="A359" s="3" t="s">
        <v>1962</v>
      </c>
      <c r="B359" s="3" t="s">
        <v>1430</v>
      </c>
      <c r="C359" s="3" t="s">
        <v>1431</v>
      </c>
      <c r="D359" s="3" t="s">
        <v>1420</v>
      </c>
      <c r="E359" s="3" t="s">
        <v>1554</v>
      </c>
      <c r="F359" t="s">
        <v>1619</v>
      </c>
      <c r="G359" t="s">
        <v>1521</v>
      </c>
      <c r="H359" s="7">
        <v>46307</v>
      </c>
      <c r="I359" s="7">
        <v>46325</v>
      </c>
      <c r="J359" t="s">
        <v>2551</v>
      </c>
      <c r="K359" t="str">
        <f t="shared" si="23"/>
        <v>Gold Mouse (M)</v>
      </c>
      <c r="L359" t="str">
        <f t="shared" si="20"/>
        <v>Michael</v>
      </c>
      <c r="M359" t="str">
        <f>SUBSTITUTE(Table1[[#This Row],[Raw_Address]], ", ", " - ")</f>
        <v>Kansas City - MO</v>
      </c>
      <c r="N359" t="str">
        <f t="shared" si="21"/>
        <v>Q4-2026</v>
      </c>
      <c r="O359" t="str">
        <f t="shared" si="22"/>
        <v>INV/00356/OCT</v>
      </c>
    </row>
    <row r="360" spans="1:15" x14ac:dyDescent="0.35">
      <c r="A360" s="3" t="s">
        <v>1963</v>
      </c>
      <c r="B360" s="3" t="s">
        <v>1442</v>
      </c>
      <c r="C360" s="3" t="s">
        <v>18</v>
      </c>
      <c r="D360" s="3" t="s">
        <v>1432</v>
      </c>
      <c r="E360" s="3" t="s">
        <v>1557</v>
      </c>
      <c r="F360" t="s">
        <v>1621</v>
      </c>
      <c r="G360" t="s">
        <v>1525</v>
      </c>
      <c r="H360" s="7">
        <v>46039</v>
      </c>
      <c r="I360" s="7">
        <v>46060</v>
      </c>
      <c r="J360" t="s">
        <v>2552</v>
      </c>
      <c r="K360" t="str">
        <f t="shared" si="23"/>
        <v>White Camera (XL)</v>
      </c>
      <c r="L360" t="str">
        <f t="shared" si="20"/>
        <v>Mateo</v>
      </c>
      <c r="M360" t="str">
        <f>SUBSTITUTE(Table1[[#This Row],[Raw_Address]], ", ", " - ")</f>
        <v>Portland - OR</v>
      </c>
      <c r="N360" t="str">
        <f t="shared" si="21"/>
        <v>Q1-2026</v>
      </c>
      <c r="O360" t="str">
        <f t="shared" si="22"/>
        <v>INV/00357/JAN</v>
      </c>
    </row>
    <row r="361" spans="1:15" x14ac:dyDescent="0.35">
      <c r="A361" s="3" t="s">
        <v>1964</v>
      </c>
      <c r="B361" s="3" t="s">
        <v>1453</v>
      </c>
      <c r="C361" s="3" t="s">
        <v>1431</v>
      </c>
      <c r="D361" s="3" t="s">
        <v>1443</v>
      </c>
      <c r="E361" s="3" t="s">
        <v>1560</v>
      </c>
      <c r="F361" t="s">
        <v>1623</v>
      </c>
      <c r="G361" t="s">
        <v>1529</v>
      </c>
      <c r="H361" s="7">
        <v>46134</v>
      </c>
      <c r="I361" s="7">
        <v>46158</v>
      </c>
      <c r="J361" t="s">
        <v>2553</v>
      </c>
      <c r="K361" t="str">
        <f t="shared" si="23"/>
        <v>Gold Desk Lamp (S)</v>
      </c>
      <c r="L361" t="str">
        <f t="shared" si="20"/>
        <v>Sana</v>
      </c>
      <c r="M361" t="str">
        <f>SUBSTITUTE(Table1[[#This Row],[Raw_Address]], ", ", " - ")</f>
        <v>Las Vegas - NV</v>
      </c>
      <c r="N361" t="str">
        <f t="shared" si="21"/>
        <v>Q2-2026</v>
      </c>
      <c r="O361" t="str">
        <f t="shared" si="22"/>
        <v>INV/00358/APR</v>
      </c>
    </row>
    <row r="362" spans="1:15" x14ac:dyDescent="0.35">
      <c r="A362" s="3" t="s">
        <v>1965</v>
      </c>
      <c r="B362" s="3" t="s">
        <v>1464</v>
      </c>
      <c r="C362" s="3" t="s">
        <v>18</v>
      </c>
      <c r="D362" s="3" t="s">
        <v>1454</v>
      </c>
      <c r="E362" s="3" t="s">
        <v>1563</v>
      </c>
      <c r="F362" t="s">
        <v>1625</v>
      </c>
      <c r="G362" t="s">
        <v>1533</v>
      </c>
      <c r="H362" s="7">
        <v>46230</v>
      </c>
      <c r="I362" s="7">
        <v>46257</v>
      </c>
      <c r="J362" t="s">
        <v>2554</v>
      </c>
      <c r="K362" t="str">
        <f t="shared" si="23"/>
        <v>White Notebook (L)</v>
      </c>
      <c r="L362" t="str">
        <f t="shared" si="20"/>
        <v>Omar</v>
      </c>
      <c r="M362" t="str">
        <f>SUBSTITUTE(Table1[[#This Row],[Raw_Address]], ", ", " - ")</f>
        <v>Chicago - IL</v>
      </c>
      <c r="N362" t="str">
        <f t="shared" si="21"/>
        <v>Q3-2026</v>
      </c>
      <c r="O362" t="str">
        <f t="shared" si="22"/>
        <v>INV/00359/JUL</v>
      </c>
    </row>
    <row r="363" spans="1:15" x14ac:dyDescent="0.35">
      <c r="A363" s="3" t="s">
        <v>1966</v>
      </c>
      <c r="B363" s="3" t="s">
        <v>1474</v>
      </c>
      <c r="C363" s="3" t="s">
        <v>1431</v>
      </c>
      <c r="D363" s="3" t="s">
        <v>1465</v>
      </c>
      <c r="E363" s="3" t="s">
        <v>1566</v>
      </c>
      <c r="F363" t="s">
        <v>1627</v>
      </c>
      <c r="G363" t="s">
        <v>1537</v>
      </c>
      <c r="H363" s="7">
        <v>46299</v>
      </c>
      <c r="I363" s="7">
        <v>46329</v>
      </c>
      <c r="J363" t="s">
        <v>2555</v>
      </c>
      <c r="K363" t="str">
        <f t="shared" si="23"/>
        <v>Gold Power Bank (XS)</v>
      </c>
      <c r="L363" t="str">
        <f t="shared" si="20"/>
        <v>Nina</v>
      </c>
      <c r="M363" t="str">
        <f>SUBSTITUTE(Table1[[#This Row],[Raw_Address]], ", ", " - ")</f>
        <v>Detroit - MI</v>
      </c>
      <c r="N363" t="str">
        <f t="shared" si="21"/>
        <v>Q4-2026</v>
      </c>
      <c r="O363" t="str">
        <f t="shared" si="22"/>
        <v>INV/00360/OCT</v>
      </c>
    </row>
    <row r="364" spans="1:15" x14ac:dyDescent="0.35">
      <c r="A364" s="3" t="s">
        <v>1967</v>
      </c>
      <c r="B364" s="3" t="s">
        <v>1419</v>
      </c>
      <c r="C364" s="3" t="s">
        <v>18</v>
      </c>
      <c r="D364" s="3" t="s">
        <v>1420</v>
      </c>
      <c r="E364" s="3" t="s">
        <v>1421</v>
      </c>
      <c r="F364" t="s">
        <v>1629</v>
      </c>
      <c r="G364" t="s">
        <v>1423</v>
      </c>
      <c r="H364" s="7">
        <v>46031</v>
      </c>
      <c r="I364" s="7">
        <v>46034</v>
      </c>
      <c r="J364" t="s">
        <v>2550</v>
      </c>
      <c r="K364" t="str">
        <f t="shared" si="23"/>
        <v>White Tablet (M)</v>
      </c>
      <c r="L364" t="str">
        <f t="shared" si="20"/>
        <v>Jack</v>
      </c>
      <c r="M364" t="str">
        <f>SUBSTITUTE(Table1[[#This Row],[Raw_Address]], ", ", " - ")</f>
        <v>Boston - MA</v>
      </c>
      <c r="N364" t="str">
        <f t="shared" si="21"/>
        <v>Q1-2026</v>
      </c>
      <c r="O364" t="str">
        <f t="shared" si="22"/>
        <v>INV/00361/JAN</v>
      </c>
    </row>
    <row r="365" spans="1:15" x14ac:dyDescent="0.35">
      <c r="A365" s="3" t="s">
        <v>1968</v>
      </c>
      <c r="B365" s="3" t="s">
        <v>1430</v>
      </c>
      <c r="C365" s="3" t="s">
        <v>1431</v>
      </c>
      <c r="D365" s="3" t="s">
        <v>1432</v>
      </c>
      <c r="E365" s="3" t="s">
        <v>1433</v>
      </c>
      <c r="F365" t="s">
        <v>1631</v>
      </c>
      <c r="G365" t="s">
        <v>1435</v>
      </c>
      <c r="H365" s="7">
        <v>46126</v>
      </c>
      <c r="I365" s="7">
        <v>46132</v>
      </c>
      <c r="J365" t="s">
        <v>2551</v>
      </c>
      <c r="K365" t="str">
        <f t="shared" si="23"/>
        <v>Gold Mouse (XL)</v>
      </c>
      <c r="L365" t="str">
        <f t="shared" si="20"/>
        <v>Victor</v>
      </c>
      <c r="M365" t="str">
        <f>SUBSTITUTE(Table1[[#This Row],[Raw_Address]], ", ", " - ")</f>
        <v>Columbus - OH</v>
      </c>
      <c r="N365" t="str">
        <f t="shared" si="21"/>
        <v>Q2-2026</v>
      </c>
      <c r="O365" t="str">
        <f t="shared" si="22"/>
        <v>INV/00362/APR</v>
      </c>
    </row>
    <row r="366" spans="1:15" x14ac:dyDescent="0.35">
      <c r="A366" s="3" t="s">
        <v>1969</v>
      </c>
      <c r="B366" s="3" t="s">
        <v>1442</v>
      </c>
      <c r="C366" s="3" t="s">
        <v>18</v>
      </c>
      <c r="D366" s="3" t="s">
        <v>1443</v>
      </c>
      <c r="E366" s="3" t="s">
        <v>1444</v>
      </c>
      <c r="F366" t="s">
        <v>1633</v>
      </c>
      <c r="G366" t="s">
        <v>1446</v>
      </c>
      <c r="H366" s="7">
        <v>46222</v>
      </c>
      <c r="I366" s="7">
        <v>46231</v>
      </c>
      <c r="J366" t="s">
        <v>2552</v>
      </c>
      <c r="K366" t="str">
        <f t="shared" si="23"/>
        <v>White Camera (S)</v>
      </c>
      <c r="L366" t="str">
        <f t="shared" si="20"/>
        <v>Liam</v>
      </c>
      <c r="M366" t="str">
        <f>SUBSTITUTE(Table1[[#This Row],[Raw_Address]], ", ", " - ")</f>
        <v>Denver - CO</v>
      </c>
      <c r="N366" t="str">
        <f t="shared" si="21"/>
        <v>Q3-2026</v>
      </c>
      <c r="O366" t="str">
        <f t="shared" si="22"/>
        <v>INV/00363/JUL</v>
      </c>
    </row>
    <row r="367" spans="1:15" x14ac:dyDescent="0.35">
      <c r="A367" s="3" t="s">
        <v>1970</v>
      </c>
      <c r="B367" s="3" t="s">
        <v>1453</v>
      </c>
      <c r="C367" s="3" t="s">
        <v>1431</v>
      </c>
      <c r="D367" s="3" t="s">
        <v>1454</v>
      </c>
      <c r="E367" s="3" t="s">
        <v>1455</v>
      </c>
      <c r="F367" t="s">
        <v>1635</v>
      </c>
      <c r="G367" t="s">
        <v>1457</v>
      </c>
      <c r="H367" s="7">
        <v>46319</v>
      </c>
      <c r="I367" s="7">
        <v>46331</v>
      </c>
      <c r="J367" t="s">
        <v>2553</v>
      </c>
      <c r="K367" t="str">
        <f t="shared" si="23"/>
        <v>Gold Desk Lamp (L)</v>
      </c>
      <c r="L367" t="str">
        <f t="shared" si="20"/>
        <v>Elijah</v>
      </c>
      <c r="M367" t="str">
        <f>SUBSTITUTE(Table1[[#This Row],[Raw_Address]], ", ", " - ")</f>
        <v>Dallas - TX</v>
      </c>
      <c r="N367" t="str">
        <f t="shared" si="21"/>
        <v>Q4-2026</v>
      </c>
      <c r="O367" t="str">
        <f t="shared" si="22"/>
        <v>INV/00364/OCT</v>
      </c>
    </row>
    <row r="368" spans="1:15" x14ac:dyDescent="0.35">
      <c r="A368" s="3" t="s">
        <v>1971</v>
      </c>
      <c r="B368" s="3" t="s">
        <v>1464</v>
      </c>
      <c r="C368" s="3" t="s">
        <v>18</v>
      </c>
      <c r="D368" s="3" t="s">
        <v>1465</v>
      </c>
      <c r="E368" s="3" t="s">
        <v>1466</v>
      </c>
      <c r="F368" t="s">
        <v>1637</v>
      </c>
      <c r="G368" t="s">
        <v>1468</v>
      </c>
      <c r="H368" s="7">
        <v>46023</v>
      </c>
      <c r="I368" s="7">
        <v>46038</v>
      </c>
      <c r="J368" t="s">
        <v>2554</v>
      </c>
      <c r="K368" t="str">
        <f t="shared" si="23"/>
        <v>White Notebook (XS)</v>
      </c>
      <c r="L368" t="str">
        <f t="shared" si="20"/>
        <v>Lucas</v>
      </c>
      <c r="M368" t="str">
        <f>SUBSTITUTE(Table1[[#This Row],[Raw_Address]], ", ", " - ")</f>
        <v>Seattle - WA</v>
      </c>
      <c r="N368" t="str">
        <f t="shared" si="21"/>
        <v>Q1-2026</v>
      </c>
      <c r="O368" t="str">
        <f t="shared" si="22"/>
        <v>INV/00365/JAN</v>
      </c>
    </row>
    <row r="369" spans="1:15" x14ac:dyDescent="0.35">
      <c r="A369" s="3" t="s">
        <v>1972</v>
      </c>
      <c r="B369" s="3" t="s">
        <v>1474</v>
      </c>
      <c r="C369" s="3" t="s">
        <v>1431</v>
      </c>
      <c r="D369" s="3" t="s">
        <v>1420</v>
      </c>
      <c r="E369" s="3" t="s">
        <v>1475</v>
      </c>
      <c r="F369" t="s">
        <v>1639</v>
      </c>
      <c r="G369" t="s">
        <v>1477</v>
      </c>
      <c r="H369" s="7">
        <v>46118</v>
      </c>
      <c r="I369" s="7">
        <v>46136</v>
      </c>
      <c r="J369" t="s">
        <v>2555</v>
      </c>
      <c r="K369" t="str">
        <f t="shared" si="23"/>
        <v>Gold Power Bank (M)</v>
      </c>
      <c r="L369" t="str">
        <f t="shared" si="20"/>
        <v>Ethan</v>
      </c>
      <c r="M369" t="str">
        <f>SUBSTITUTE(Table1[[#This Row],[Raw_Address]], ", ", " - ")</f>
        <v>Nashville - TN</v>
      </c>
      <c r="N369" t="str">
        <f t="shared" si="21"/>
        <v>Q2-2026</v>
      </c>
      <c r="O369" t="str">
        <f t="shared" si="22"/>
        <v>INV/00366/APR</v>
      </c>
    </row>
    <row r="370" spans="1:15" x14ac:dyDescent="0.35">
      <c r="A370" s="3" t="s">
        <v>1973</v>
      </c>
      <c r="B370" s="3" t="s">
        <v>1419</v>
      </c>
      <c r="C370" s="3" t="s">
        <v>18</v>
      </c>
      <c r="D370" s="3" t="s">
        <v>1432</v>
      </c>
      <c r="E370" s="3" t="s">
        <v>1483</v>
      </c>
      <c r="F370" t="s">
        <v>1641</v>
      </c>
      <c r="G370" t="s">
        <v>1485</v>
      </c>
      <c r="H370" s="7">
        <v>46214</v>
      </c>
      <c r="I370" s="7">
        <v>46235</v>
      </c>
      <c r="J370" t="s">
        <v>2550</v>
      </c>
      <c r="K370" t="str">
        <f t="shared" si="23"/>
        <v>White Tablet (XL)</v>
      </c>
      <c r="L370" t="str">
        <f t="shared" si="20"/>
        <v>Evelyn</v>
      </c>
      <c r="M370" t="str">
        <f>SUBSTITUTE(Table1[[#This Row],[Raw_Address]], ", ", " - ")</f>
        <v>Minneapolis - MN</v>
      </c>
      <c r="N370" t="str">
        <f t="shared" si="21"/>
        <v>Q3-2026</v>
      </c>
      <c r="O370" t="str">
        <f t="shared" si="22"/>
        <v>INV/00367/JUL</v>
      </c>
    </row>
    <row r="371" spans="1:15" x14ac:dyDescent="0.35">
      <c r="A371" s="3" t="s">
        <v>1974</v>
      </c>
      <c r="B371" s="3" t="s">
        <v>1430</v>
      </c>
      <c r="C371" s="3" t="s">
        <v>1431</v>
      </c>
      <c r="D371" s="3" t="s">
        <v>1443</v>
      </c>
      <c r="E371" s="3" t="s">
        <v>1487</v>
      </c>
      <c r="F371" t="s">
        <v>1643</v>
      </c>
      <c r="G371" t="s">
        <v>1489</v>
      </c>
      <c r="H371" s="7">
        <v>46311</v>
      </c>
      <c r="I371" s="7">
        <v>46335</v>
      </c>
      <c r="J371" t="s">
        <v>2551</v>
      </c>
      <c r="K371" t="str">
        <f t="shared" si="23"/>
        <v>Gold Mouse (S)</v>
      </c>
      <c r="L371" t="str">
        <f t="shared" si="20"/>
        <v>Scarlett</v>
      </c>
      <c r="M371" t="str">
        <f>SUBSTITUTE(Table1[[#This Row],[Raw_Address]], ", ", " - ")</f>
        <v>Atlanta - GA</v>
      </c>
      <c r="N371" t="str">
        <f t="shared" si="21"/>
        <v>Q4-2026</v>
      </c>
      <c r="O371" t="str">
        <f t="shared" si="22"/>
        <v>INV/00368/OCT</v>
      </c>
    </row>
    <row r="372" spans="1:15" x14ac:dyDescent="0.35">
      <c r="A372" s="3" t="s">
        <v>1975</v>
      </c>
      <c r="B372" s="3" t="s">
        <v>1442</v>
      </c>
      <c r="C372" s="3" t="s">
        <v>18</v>
      </c>
      <c r="D372" s="3" t="s">
        <v>1454</v>
      </c>
      <c r="E372" s="3" t="s">
        <v>1491</v>
      </c>
      <c r="F372" t="s">
        <v>1645</v>
      </c>
      <c r="G372" t="s">
        <v>1493</v>
      </c>
      <c r="H372" s="7">
        <v>46043</v>
      </c>
      <c r="I372" s="7">
        <v>46070</v>
      </c>
      <c r="J372" t="s">
        <v>2552</v>
      </c>
      <c r="K372" t="str">
        <f t="shared" si="23"/>
        <v>White Camera (L)</v>
      </c>
      <c r="L372" t="str">
        <f t="shared" si="20"/>
        <v>Sofia</v>
      </c>
      <c r="M372" t="str">
        <f>SUBSTITUTE(Table1[[#This Row],[Raw_Address]], ", ", " - ")</f>
        <v>Tampa - FL</v>
      </c>
      <c r="N372" t="str">
        <f t="shared" si="21"/>
        <v>Q1-2026</v>
      </c>
      <c r="O372" t="str">
        <f t="shared" si="22"/>
        <v>INV/00369/JAN</v>
      </c>
    </row>
    <row r="373" spans="1:15" x14ac:dyDescent="0.35">
      <c r="A373" s="3" t="s">
        <v>1976</v>
      </c>
      <c r="B373" s="3" t="s">
        <v>1453</v>
      </c>
      <c r="C373" s="3" t="s">
        <v>1431</v>
      </c>
      <c r="D373" s="3" t="s">
        <v>1465</v>
      </c>
      <c r="E373" s="3" t="s">
        <v>1495</v>
      </c>
      <c r="F373" t="s">
        <v>1647</v>
      </c>
      <c r="G373" t="s">
        <v>1497</v>
      </c>
      <c r="H373" s="7">
        <v>46138</v>
      </c>
      <c r="I373" s="7">
        <v>46168</v>
      </c>
      <c r="J373" t="s">
        <v>2553</v>
      </c>
      <c r="K373" t="str">
        <f t="shared" si="23"/>
        <v>Gold Desk Lamp (XS)</v>
      </c>
      <c r="L373" t="str">
        <f t="shared" si="20"/>
        <v>Priya</v>
      </c>
      <c r="M373" t="str">
        <f>SUBSTITUTE(Table1[[#This Row],[Raw_Address]], ", ", " - ")</f>
        <v>Phoenix - AZ</v>
      </c>
      <c r="N373" t="str">
        <f t="shared" si="21"/>
        <v>Q2-2026</v>
      </c>
      <c r="O373" t="str">
        <f t="shared" si="22"/>
        <v>INV/00370/APR</v>
      </c>
    </row>
    <row r="374" spans="1:15" x14ac:dyDescent="0.35">
      <c r="A374" s="3" t="s">
        <v>1977</v>
      </c>
      <c r="B374" s="3" t="s">
        <v>1464</v>
      </c>
      <c r="C374" s="3" t="s">
        <v>18</v>
      </c>
      <c r="D374" s="3" t="s">
        <v>1420</v>
      </c>
      <c r="E374" s="3" t="s">
        <v>1499</v>
      </c>
      <c r="F374" t="s">
        <v>1649</v>
      </c>
      <c r="G374" t="s">
        <v>1501</v>
      </c>
      <c r="H374" s="7">
        <v>46206</v>
      </c>
      <c r="I374" s="7">
        <v>46209</v>
      </c>
      <c r="J374" t="s">
        <v>2554</v>
      </c>
      <c r="K374" t="str">
        <f t="shared" si="23"/>
        <v>White Notebook (M)</v>
      </c>
      <c r="L374" t="str">
        <f t="shared" si="20"/>
        <v>Kabir</v>
      </c>
      <c r="M374" t="str">
        <f>SUBSTITUTE(Table1[[#This Row],[Raw_Address]], ", ", " - ")</f>
        <v>Raleigh - NC</v>
      </c>
      <c r="N374" t="str">
        <f t="shared" si="21"/>
        <v>Q3-2026</v>
      </c>
      <c r="O374" t="str">
        <f t="shared" si="22"/>
        <v>INV/00371/JUL</v>
      </c>
    </row>
    <row r="375" spans="1:15" x14ac:dyDescent="0.35">
      <c r="A375" s="3" t="s">
        <v>1978</v>
      </c>
      <c r="B375" s="3" t="s">
        <v>1474</v>
      </c>
      <c r="C375" s="3" t="s">
        <v>1431</v>
      </c>
      <c r="D375" s="3" t="s">
        <v>1432</v>
      </c>
      <c r="E375" s="3" t="s">
        <v>1503</v>
      </c>
      <c r="F375" t="s">
        <v>1651</v>
      </c>
      <c r="G375" t="s">
        <v>1505</v>
      </c>
      <c r="H375" s="7">
        <v>46303</v>
      </c>
      <c r="I375" s="7">
        <v>46309</v>
      </c>
      <c r="J375" t="s">
        <v>2555</v>
      </c>
      <c r="K375" t="str">
        <f t="shared" si="23"/>
        <v>Gold Power Bank (XL)</v>
      </c>
      <c r="L375" t="str">
        <f t="shared" si="20"/>
        <v>Fatima</v>
      </c>
      <c r="M375" t="str">
        <f>SUBSTITUTE(Table1[[#This Row],[Raw_Address]], ", ", " - ")</f>
        <v>Miami - FL</v>
      </c>
      <c r="N375" t="str">
        <f t="shared" si="21"/>
        <v>Q4-2026</v>
      </c>
      <c r="O375" t="str">
        <f t="shared" si="22"/>
        <v>INV/00372/OCT</v>
      </c>
    </row>
    <row r="376" spans="1:15" x14ac:dyDescent="0.35">
      <c r="A376" s="3" t="s">
        <v>1979</v>
      </c>
      <c r="B376" s="3" t="s">
        <v>1419</v>
      </c>
      <c r="C376" s="3" t="s">
        <v>18</v>
      </c>
      <c r="D376" s="3" t="s">
        <v>1443</v>
      </c>
      <c r="E376" s="3" t="s">
        <v>1507</v>
      </c>
      <c r="F376" t="s">
        <v>1653</v>
      </c>
      <c r="G376" t="s">
        <v>1509</v>
      </c>
      <c r="H376" s="7">
        <v>46035</v>
      </c>
      <c r="I376" s="7">
        <v>46044</v>
      </c>
      <c r="J376" t="s">
        <v>2550</v>
      </c>
      <c r="K376" t="str">
        <f t="shared" si="23"/>
        <v>White Tablet (S)</v>
      </c>
      <c r="L376" t="str">
        <f t="shared" si="20"/>
        <v>Grace</v>
      </c>
      <c r="M376" t="str">
        <f>SUBSTITUTE(Table1[[#This Row],[Raw_Address]], ", ", " - ")</f>
        <v>Charlotte - NC</v>
      </c>
      <c r="N376" t="str">
        <f t="shared" si="21"/>
        <v>Q1-2026</v>
      </c>
      <c r="O376" t="str">
        <f t="shared" si="22"/>
        <v>INV/00373/JAN</v>
      </c>
    </row>
    <row r="377" spans="1:15" x14ac:dyDescent="0.35">
      <c r="A377" s="3" t="s">
        <v>1980</v>
      </c>
      <c r="B377" s="3" t="s">
        <v>1430</v>
      </c>
      <c r="C377" s="3" t="s">
        <v>1431</v>
      </c>
      <c r="D377" s="3" t="s">
        <v>1454</v>
      </c>
      <c r="E377" s="3" t="s">
        <v>1511</v>
      </c>
      <c r="F377" t="s">
        <v>1655</v>
      </c>
      <c r="G377" t="s">
        <v>1513</v>
      </c>
      <c r="H377" s="7">
        <v>46130</v>
      </c>
      <c r="I377" s="7">
        <v>46142</v>
      </c>
      <c r="J377" t="s">
        <v>2551</v>
      </c>
      <c r="K377" t="str">
        <f t="shared" si="23"/>
        <v>Gold Mouse (L)</v>
      </c>
      <c r="L377" t="str">
        <f t="shared" si="20"/>
        <v>David</v>
      </c>
      <c r="M377" t="str">
        <f>SUBSTITUTE(Table1[[#This Row],[Raw_Address]], ", ", " - ")</f>
        <v>Austin - TX</v>
      </c>
      <c r="N377" t="str">
        <f t="shared" si="21"/>
        <v>Q2-2026</v>
      </c>
      <c r="O377" t="str">
        <f t="shared" si="22"/>
        <v>INV/00374/APR</v>
      </c>
    </row>
    <row r="378" spans="1:15" x14ac:dyDescent="0.35">
      <c r="A378" s="3" t="s">
        <v>1981</v>
      </c>
      <c r="B378" s="3" t="s">
        <v>1442</v>
      </c>
      <c r="C378" s="3" t="s">
        <v>18</v>
      </c>
      <c r="D378" s="3" t="s">
        <v>1465</v>
      </c>
      <c r="E378" s="3" t="s">
        <v>1515</v>
      </c>
      <c r="F378" t="s">
        <v>1657</v>
      </c>
      <c r="G378" t="s">
        <v>1517</v>
      </c>
      <c r="H378" s="7">
        <v>46226</v>
      </c>
      <c r="I378" s="7">
        <v>46241</v>
      </c>
      <c r="J378" t="s">
        <v>2552</v>
      </c>
      <c r="K378" t="str">
        <f t="shared" si="23"/>
        <v>White Camera (XS)</v>
      </c>
      <c r="L378" t="str">
        <f t="shared" si="20"/>
        <v>Anaya</v>
      </c>
      <c r="M378" t="str">
        <f>SUBSTITUTE(Table1[[#This Row],[Raw_Address]], ", ", " - ")</f>
        <v>San Diego - CA</v>
      </c>
      <c r="N378" t="str">
        <f t="shared" si="21"/>
        <v>Q3-2026</v>
      </c>
      <c r="O378" t="str">
        <f t="shared" si="22"/>
        <v>INV/00375/JUL</v>
      </c>
    </row>
    <row r="379" spans="1:15" x14ac:dyDescent="0.35">
      <c r="A379" s="3" t="s">
        <v>1982</v>
      </c>
      <c r="B379" s="3" t="s">
        <v>1453</v>
      </c>
      <c r="C379" s="3" t="s">
        <v>1431</v>
      </c>
      <c r="D379" s="3" t="s">
        <v>1420</v>
      </c>
      <c r="E379" s="3" t="s">
        <v>1519</v>
      </c>
      <c r="F379" t="s">
        <v>1659</v>
      </c>
      <c r="G379" t="s">
        <v>1521</v>
      </c>
      <c r="H379" s="7">
        <v>46323</v>
      </c>
      <c r="I379" s="7">
        <v>46341</v>
      </c>
      <c r="J379" t="s">
        <v>2553</v>
      </c>
      <c r="K379" t="str">
        <f t="shared" si="23"/>
        <v>Gold Desk Lamp (M)</v>
      </c>
      <c r="L379" t="str">
        <f t="shared" si="20"/>
        <v>Emma</v>
      </c>
      <c r="M379" t="str">
        <f>SUBSTITUTE(Table1[[#This Row],[Raw_Address]], ", ", " - ")</f>
        <v>Kansas City - MO</v>
      </c>
      <c r="N379" t="str">
        <f t="shared" si="21"/>
        <v>Q4-2026</v>
      </c>
      <c r="O379" t="str">
        <f t="shared" si="22"/>
        <v>INV/00376/OCT</v>
      </c>
    </row>
    <row r="380" spans="1:15" x14ac:dyDescent="0.35">
      <c r="A380" s="3" t="s">
        <v>1983</v>
      </c>
      <c r="B380" s="3" t="s">
        <v>1464</v>
      </c>
      <c r="C380" s="3" t="s">
        <v>18</v>
      </c>
      <c r="D380" s="3" t="s">
        <v>1432</v>
      </c>
      <c r="E380" s="3" t="s">
        <v>1523</v>
      </c>
      <c r="F380" t="s">
        <v>1661</v>
      </c>
      <c r="G380" t="s">
        <v>1525</v>
      </c>
      <c r="H380" s="7">
        <v>46027</v>
      </c>
      <c r="I380" s="7">
        <v>46048</v>
      </c>
      <c r="J380" t="s">
        <v>2554</v>
      </c>
      <c r="K380" t="str">
        <f t="shared" si="23"/>
        <v>White Notebook (XL)</v>
      </c>
      <c r="L380" t="str">
        <f t="shared" si="20"/>
        <v>Mason</v>
      </c>
      <c r="M380" t="str">
        <f>SUBSTITUTE(Table1[[#This Row],[Raw_Address]], ", ", " - ")</f>
        <v>Portland - OR</v>
      </c>
      <c r="N380" t="str">
        <f t="shared" si="21"/>
        <v>Q1-2026</v>
      </c>
      <c r="O380" t="str">
        <f t="shared" si="22"/>
        <v>INV/00377/JAN</v>
      </c>
    </row>
    <row r="381" spans="1:15" x14ac:dyDescent="0.35">
      <c r="A381" s="3" t="s">
        <v>1984</v>
      </c>
      <c r="B381" s="3" t="s">
        <v>1474</v>
      </c>
      <c r="C381" s="3" t="s">
        <v>1431</v>
      </c>
      <c r="D381" s="3" t="s">
        <v>1443</v>
      </c>
      <c r="E381" s="3" t="s">
        <v>1527</v>
      </c>
      <c r="F381" t="s">
        <v>1663</v>
      </c>
      <c r="G381" t="s">
        <v>1529</v>
      </c>
      <c r="H381" s="7">
        <v>46122</v>
      </c>
      <c r="I381" s="7">
        <v>46146</v>
      </c>
      <c r="J381" t="s">
        <v>2555</v>
      </c>
      <c r="K381" t="str">
        <f t="shared" si="23"/>
        <v>Gold Power Bank (S)</v>
      </c>
      <c r="L381" t="str">
        <f t="shared" si="20"/>
        <v>Amelia</v>
      </c>
      <c r="M381" t="str">
        <f>SUBSTITUTE(Table1[[#This Row],[Raw_Address]], ", ", " - ")</f>
        <v>Las Vegas - NV</v>
      </c>
      <c r="N381" t="str">
        <f t="shared" si="21"/>
        <v>Q2-2026</v>
      </c>
      <c r="O381" t="str">
        <f t="shared" si="22"/>
        <v>INV/00378/APR</v>
      </c>
    </row>
    <row r="382" spans="1:15" x14ac:dyDescent="0.35">
      <c r="A382" s="3" t="s">
        <v>1985</v>
      </c>
      <c r="B382" s="3" t="s">
        <v>1419</v>
      </c>
      <c r="C382" s="3" t="s">
        <v>18</v>
      </c>
      <c r="D382" s="3" t="s">
        <v>1454</v>
      </c>
      <c r="E382" s="3" t="s">
        <v>1531</v>
      </c>
      <c r="F382" t="s">
        <v>1665</v>
      </c>
      <c r="G382" t="s">
        <v>1533</v>
      </c>
      <c r="H382" s="7">
        <v>46218</v>
      </c>
      <c r="I382" s="7">
        <v>46245</v>
      </c>
      <c r="J382" t="s">
        <v>2550</v>
      </c>
      <c r="K382" t="str">
        <f t="shared" si="23"/>
        <v>White Tablet (L)</v>
      </c>
      <c r="L382" t="str">
        <f t="shared" si="20"/>
        <v>Charlotte</v>
      </c>
      <c r="M382" t="str">
        <f>SUBSTITUTE(Table1[[#This Row],[Raw_Address]], ", ", " - ")</f>
        <v>Chicago - IL</v>
      </c>
      <c r="N382" t="str">
        <f t="shared" si="21"/>
        <v>Q3-2026</v>
      </c>
      <c r="O382" t="str">
        <f t="shared" si="22"/>
        <v>INV/00379/JUL</v>
      </c>
    </row>
    <row r="383" spans="1:15" x14ac:dyDescent="0.35">
      <c r="A383" s="3" t="s">
        <v>1986</v>
      </c>
      <c r="B383" s="3" t="s">
        <v>1430</v>
      </c>
      <c r="C383" s="3" t="s">
        <v>1431</v>
      </c>
      <c r="D383" s="3" t="s">
        <v>1465</v>
      </c>
      <c r="E383" s="3" t="s">
        <v>1535</v>
      </c>
      <c r="F383" t="s">
        <v>1667</v>
      </c>
      <c r="G383" t="s">
        <v>1537</v>
      </c>
      <c r="H383" s="7">
        <v>46315</v>
      </c>
      <c r="I383" s="7">
        <v>46345</v>
      </c>
      <c r="J383" t="s">
        <v>2551</v>
      </c>
      <c r="K383" t="str">
        <f t="shared" si="23"/>
        <v>Gold Mouse (XS)</v>
      </c>
      <c r="L383" t="str">
        <f t="shared" si="20"/>
        <v>Henry</v>
      </c>
      <c r="M383" t="str">
        <f>SUBSTITUTE(Table1[[#This Row],[Raw_Address]], ", ", " - ")</f>
        <v>Detroit - MI</v>
      </c>
      <c r="N383" t="str">
        <f t="shared" si="21"/>
        <v>Q4-2026</v>
      </c>
      <c r="O383" t="str">
        <f t="shared" si="22"/>
        <v>INV/00380/OCT</v>
      </c>
    </row>
    <row r="384" spans="1:15" x14ac:dyDescent="0.35">
      <c r="A384" s="3" t="s">
        <v>1987</v>
      </c>
      <c r="B384" s="3" t="s">
        <v>1442</v>
      </c>
      <c r="C384" s="3" t="s">
        <v>18</v>
      </c>
      <c r="D384" s="3" t="s">
        <v>1420</v>
      </c>
      <c r="E384" s="3" t="s">
        <v>1539</v>
      </c>
      <c r="F384" t="s">
        <v>1669</v>
      </c>
      <c r="G384" t="s">
        <v>1423</v>
      </c>
      <c r="H384" s="7">
        <v>46047</v>
      </c>
      <c r="I384" s="7">
        <v>46050</v>
      </c>
      <c r="J384" t="s">
        <v>2552</v>
      </c>
      <c r="K384" t="str">
        <f t="shared" si="23"/>
        <v>White Camera (M)</v>
      </c>
      <c r="L384" t="str">
        <f t="shared" si="20"/>
        <v>Michael</v>
      </c>
      <c r="M384" t="str">
        <f>SUBSTITUTE(Table1[[#This Row],[Raw_Address]], ", ", " - ")</f>
        <v>Boston - MA</v>
      </c>
      <c r="N384" t="str">
        <f t="shared" si="21"/>
        <v>Q1-2026</v>
      </c>
      <c r="O384" t="str">
        <f t="shared" si="22"/>
        <v>INV/00381/JAN</v>
      </c>
    </row>
    <row r="385" spans="1:15" x14ac:dyDescent="0.35">
      <c r="A385" s="3" t="s">
        <v>1988</v>
      </c>
      <c r="B385" s="3" t="s">
        <v>1453</v>
      </c>
      <c r="C385" s="3" t="s">
        <v>1431</v>
      </c>
      <c r="D385" s="3" t="s">
        <v>1432</v>
      </c>
      <c r="E385" s="3" t="s">
        <v>1542</v>
      </c>
      <c r="F385" t="s">
        <v>1671</v>
      </c>
      <c r="G385" t="s">
        <v>1435</v>
      </c>
      <c r="H385" s="7">
        <v>46114</v>
      </c>
      <c r="I385" s="7">
        <v>46120</v>
      </c>
      <c r="J385" t="s">
        <v>2553</v>
      </c>
      <c r="K385" t="str">
        <f t="shared" si="23"/>
        <v>Gold Desk Lamp (XL)</v>
      </c>
      <c r="L385" t="str">
        <f t="shared" si="20"/>
        <v>Mateo</v>
      </c>
      <c r="M385" t="str">
        <f>SUBSTITUTE(Table1[[#This Row],[Raw_Address]], ", ", " - ")</f>
        <v>Columbus - OH</v>
      </c>
      <c r="N385" t="str">
        <f t="shared" si="21"/>
        <v>Q2-2026</v>
      </c>
      <c r="O385" t="str">
        <f t="shared" si="22"/>
        <v>INV/00382/APR</v>
      </c>
    </row>
    <row r="386" spans="1:15" x14ac:dyDescent="0.35">
      <c r="A386" s="3" t="s">
        <v>1989</v>
      </c>
      <c r="B386" s="3" t="s">
        <v>1464</v>
      </c>
      <c r="C386" s="3" t="s">
        <v>18</v>
      </c>
      <c r="D386" s="3" t="s">
        <v>1443</v>
      </c>
      <c r="E386" s="3" t="s">
        <v>1545</v>
      </c>
      <c r="F386" t="s">
        <v>1673</v>
      </c>
      <c r="G386" t="s">
        <v>1446</v>
      </c>
      <c r="H386" s="7">
        <v>46210</v>
      </c>
      <c r="I386" s="7">
        <v>46219</v>
      </c>
      <c r="J386" t="s">
        <v>2554</v>
      </c>
      <c r="K386" t="str">
        <f t="shared" si="23"/>
        <v>White Notebook (S)</v>
      </c>
      <c r="L386" t="str">
        <f t="shared" si="20"/>
        <v>Sana</v>
      </c>
      <c r="M386" t="str">
        <f>SUBSTITUTE(Table1[[#This Row],[Raw_Address]], ", ", " - ")</f>
        <v>Denver - CO</v>
      </c>
      <c r="N386" t="str">
        <f t="shared" si="21"/>
        <v>Q3-2026</v>
      </c>
      <c r="O386" t="str">
        <f t="shared" si="22"/>
        <v>INV/00383/JUL</v>
      </c>
    </row>
    <row r="387" spans="1:15" x14ac:dyDescent="0.35">
      <c r="A387" s="3" t="s">
        <v>1990</v>
      </c>
      <c r="B387" s="3" t="s">
        <v>1474</v>
      </c>
      <c r="C387" s="3" t="s">
        <v>1431</v>
      </c>
      <c r="D387" s="3" t="s">
        <v>1454</v>
      </c>
      <c r="E387" s="3" t="s">
        <v>1548</v>
      </c>
      <c r="F387" t="s">
        <v>1675</v>
      </c>
      <c r="G387" t="s">
        <v>1457</v>
      </c>
      <c r="H387" s="7">
        <v>46307</v>
      </c>
      <c r="I387" s="7">
        <v>46319</v>
      </c>
      <c r="J387" t="s">
        <v>2555</v>
      </c>
      <c r="K387" t="str">
        <f t="shared" si="23"/>
        <v>Gold Power Bank (L)</v>
      </c>
      <c r="L387" t="str">
        <f t="shared" si="20"/>
        <v>Omar</v>
      </c>
      <c r="M387" t="str">
        <f>SUBSTITUTE(Table1[[#This Row],[Raw_Address]], ", ", " - ")</f>
        <v>Dallas - TX</v>
      </c>
      <c r="N387" t="str">
        <f t="shared" si="21"/>
        <v>Q4-2026</v>
      </c>
      <c r="O387" t="str">
        <f t="shared" si="22"/>
        <v>INV/00384/OCT</v>
      </c>
    </row>
    <row r="388" spans="1:15" x14ac:dyDescent="0.35">
      <c r="A388" s="3" t="s">
        <v>1991</v>
      </c>
      <c r="B388" s="3" t="s">
        <v>1419</v>
      </c>
      <c r="C388" s="3" t="s">
        <v>18</v>
      </c>
      <c r="D388" s="3" t="s">
        <v>1465</v>
      </c>
      <c r="E388" s="3" t="s">
        <v>1551</v>
      </c>
      <c r="F388" t="s">
        <v>1677</v>
      </c>
      <c r="G388" t="s">
        <v>1468</v>
      </c>
      <c r="H388" s="7">
        <v>46039</v>
      </c>
      <c r="I388" s="7">
        <v>46054</v>
      </c>
      <c r="J388" t="s">
        <v>2550</v>
      </c>
      <c r="K388" t="str">
        <f t="shared" si="23"/>
        <v>White Tablet (XS)</v>
      </c>
      <c r="L388" t="str">
        <f t="shared" si="20"/>
        <v>Nina</v>
      </c>
      <c r="M388" t="str">
        <f>SUBSTITUTE(Table1[[#This Row],[Raw_Address]], ", ", " - ")</f>
        <v>Seattle - WA</v>
      </c>
      <c r="N388" t="str">
        <f t="shared" si="21"/>
        <v>Q1-2026</v>
      </c>
      <c r="O388" t="str">
        <f t="shared" si="22"/>
        <v>INV/00385/JAN</v>
      </c>
    </row>
    <row r="389" spans="1:15" x14ac:dyDescent="0.35">
      <c r="A389" s="3" t="s">
        <v>1992</v>
      </c>
      <c r="B389" s="3" t="s">
        <v>1430</v>
      </c>
      <c r="C389" s="3" t="s">
        <v>1431</v>
      </c>
      <c r="D389" s="3" t="s">
        <v>1420</v>
      </c>
      <c r="E389" s="3" t="s">
        <v>1554</v>
      </c>
      <c r="F389" t="s">
        <v>1679</v>
      </c>
      <c r="G389" t="s">
        <v>1477</v>
      </c>
      <c r="H389" s="7">
        <v>46134</v>
      </c>
      <c r="I389" s="7">
        <v>46152</v>
      </c>
      <c r="J389" t="s">
        <v>2551</v>
      </c>
      <c r="K389" t="str">
        <f t="shared" si="23"/>
        <v>Gold Mouse (M)</v>
      </c>
      <c r="L389" t="str">
        <f t="shared" si="20"/>
        <v>Jack</v>
      </c>
      <c r="M389" t="str">
        <f>SUBSTITUTE(Table1[[#This Row],[Raw_Address]], ", ", " - ")</f>
        <v>Nashville - TN</v>
      </c>
      <c r="N389" t="str">
        <f t="shared" si="21"/>
        <v>Q2-2026</v>
      </c>
      <c r="O389" t="str">
        <f t="shared" si="22"/>
        <v>INV/00386/APR</v>
      </c>
    </row>
    <row r="390" spans="1:15" x14ac:dyDescent="0.35">
      <c r="A390" s="3" t="s">
        <v>1993</v>
      </c>
      <c r="B390" s="3" t="s">
        <v>1442</v>
      </c>
      <c r="C390" s="3" t="s">
        <v>18</v>
      </c>
      <c r="D390" s="3" t="s">
        <v>1432</v>
      </c>
      <c r="E390" s="3" t="s">
        <v>1557</v>
      </c>
      <c r="F390" t="s">
        <v>1681</v>
      </c>
      <c r="G390" t="s">
        <v>1485</v>
      </c>
      <c r="H390" s="7">
        <v>46230</v>
      </c>
      <c r="I390" s="7">
        <v>46251</v>
      </c>
      <c r="J390" t="s">
        <v>2552</v>
      </c>
      <c r="K390" t="str">
        <f t="shared" si="23"/>
        <v>White Camera (XL)</v>
      </c>
      <c r="L390" t="str">
        <f t="shared" si="20"/>
        <v>Victor</v>
      </c>
      <c r="M390" t="str">
        <f>SUBSTITUTE(Table1[[#This Row],[Raw_Address]], ", ", " - ")</f>
        <v>Minneapolis - MN</v>
      </c>
      <c r="N390" t="str">
        <f t="shared" si="21"/>
        <v>Q3-2026</v>
      </c>
      <c r="O390" t="str">
        <f t="shared" si="22"/>
        <v>INV/00387/JUL</v>
      </c>
    </row>
    <row r="391" spans="1:15" x14ac:dyDescent="0.35">
      <c r="A391" s="3" t="s">
        <v>1994</v>
      </c>
      <c r="B391" s="3" t="s">
        <v>1453</v>
      </c>
      <c r="C391" s="3" t="s">
        <v>1431</v>
      </c>
      <c r="D391" s="3" t="s">
        <v>1443</v>
      </c>
      <c r="E391" s="3" t="s">
        <v>1560</v>
      </c>
      <c r="F391" t="s">
        <v>39</v>
      </c>
      <c r="G391" t="s">
        <v>1489</v>
      </c>
      <c r="H391" s="7">
        <v>46299</v>
      </c>
      <c r="I391" s="7">
        <v>46323</v>
      </c>
      <c r="J391" t="s">
        <v>2553</v>
      </c>
      <c r="K391" t="str">
        <f t="shared" si="23"/>
        <v>Gold Desk Lamp (S)</v>
      </c>
      <c r="L391" t="str">
        <f t="shared" si="20"/>
        <v>Liam</v>
      </c>
      <c r="M391" t="str">
        <f>SUBSTITUTE(Table1[[#This Row],[Raw_Address]], ", ", " - ")</f>
        <v>Atlanta - GA</v>
      </c>
      <c r="N391" t="str">
        <f t="shared" si="21"/>
        <v>Q4-2026</v>
      </c>
      <c r="O391" t="str">
        <f t="shared" si="22"/>
        <v>INV/00388/OCT</v>
      </c>
    </row>
    <row r="392" spans="1:15" x14ac:dyDescent="0.35">
      <c r="A392" s="3" t="s">
        <v>1995</v>
      </c>
      <c r="B392" s="3" t="s">
        <v>1464</v>
      </c>
      <c r="C392" s="3" t="s">
        <v>18</v>
      </c>
      <c r="D392" s="3" t="s">
        <v>1454</v>
      </c>
      <c r="E392" s="3" t="s">
        <v>1563</v>
      </c>
      <c r="F392" t="s">
        <v>1684</v>
      </c>
      <c r="G392" t="s">
        <v>1493</v>
      </c>
      <c r="H392" s="7">
        <v>46031</v>
      </c>
      <c r="I392" s="7">
        <v>46058</v>
      </c>
      <c r="J392" t="s">
        <v>2554</v>
      </c>
      <c r="K392" t="str">
        <f t="shared" si="23"/>
        <v>White Notebook (L)</v>
      </c>
      <c r="L392" t="str">
        <f t="shared" si="20"/>
        <v>Elijah</v>
      </c>
      <c r="M392" t="str">
        <f>SUBSTITUTE(Table1[[#This Row],[Raw_Address]], ", ", " - ")</f>
        <v>Tampa - FL</v>
      </c>
      <c r="N392" t="str">
        <f t="shared" si="21"/>
        <v>Q1-2026</v>
      </c>
      <c r="O392" t="str">
        <f t="shared" si="22"/>
        <v>INV/00389/JAN</v>
      </c>
    </row>
    <row r="393" spans="1:15" x14ac:dyDescent="0.35">
      <c r="A393" s="3" t="s">
        <v>1996</v>
      </c>
      <c r="B393" s="3" t="s">
        <v>1474</v>
      </c>
      <c r="C393" s="3" t="s">
        <v>1431</v>
      </c>
      <c r="D393" s="3" t="s">
        <v>1465</v>
      </c>
      <c r="E393" s="3" t="s">
        <v>1566</v>
      </c>
      <c r="F393" t="s">
        <v>1686</v>
      </c>
      <c r="G393" t="s">
        <v>1497</v>
      </c>
      <c r="H393" s="7">
        <v>46126</v>
      </c>
      <c r="I393" s="7">
        <v>46156</v>
      </c>
      <c r="J393" t="s">
        <v>2555</v>
      </c>
      <c r="K393" t="str">
        <f t="shared" si="23"/>
        <v>Gold Power Bank (XS)</v>
      </c>
      <c r="L393" t="str">
        <f t="shared" si="20"/>
        <v>Lucas</v>
      </c>
      <c r="M393" t="str">
        <f>SUBSTITUTE(Table1[[#This Row],[Raw_Address]], ", ", " - ")</f>
        <v>Phoenix - AZ</v>
      </c>
      <c r="N393" t="str">
        <f t="shared" si="21"/>
        <v>Q2-2026</v>
      </c>
      <c r="O393" t="str">
        <f t="shared" si="22"/>
        <v>INV/00390/APR</v>
      </c>
    </row>
    <row r="394" spans="1:15" x14ac:dyDescent="0.35">
      <c r="A394" s="3" t="s">
        <v>1997</v>
      </c>
      <c r="B394" s="3" t="s">
        <v>1419</v>
      </c>
      <c r="C394" s="3" t="s">
        <v>18</v>
      </c>
      <c r="D394" s="3" t="s">
        <v>1420</v>
      </c>
      <c r="E394" s="3" t="s">
        <v>1421</v>
      </c>
      <c r="F394" t="s">
        <v>1688</v>
      </c>
      <c r="G394" t="s">
        <v>1501</v>
      </c>
      <c r="H394" s="7">
        <v>46222</v>
      </c>
      <c r="I394" s="7">
        <v>46225</v>
      </c>
      <c r="J394" t="s">
        <v>2550</v>
      </c>
      <c r="K394" t="str">
        <f t="shared" si="23"/>
        <v>White Tablet (M)</v>
      </c>
      <c r="L394" t="str">
        <f t="shared" si="20"/>
        <v>Ethan</v>
      </c>
      <c r="M394" t="str">
        <f>SUBSTITUTE(Table1[[#This Row],[Raw_Address]], ", ", " - ")</f>
        <v>Raleigh - NC</v>
      </c>
      <c r="N394" t="str">
        <f t="shared" si="21"/>
        <v>Q3-2026</v>
      </c>
      <c r="O394" t="str">
        <f t="shared" si="22"/>
        <v>INV/00391/JUL</v>
      </c>
    </row>
    <row r="395" spans="1:15" x14ac:dyDescent="0.35">
      <c r="A395" s="3" t="s">
        <v>1998</v>
      </c>
      <c r="B395" s="3" t="s">
        <v>1430</v>
      </c>
      <c r="C395" s="3" t="s">
        <v>1431</v>
      </c>
      <c r="D395" s="3" t="s">
        <v>1432</v>
      </c>
      <c r="E395" s="3" t="s">
        <v>1433</v>
      </c>
      <c r="F395" t="s">
        <v>1690</v>
      </c>
      <c r="G395" t="s">
        <v>1505</v>
      </c>
      <c r="H395" s="7">
        <v>46319</v>
      </c>
      <c r="I395" s="7">
        <v>46325</v>
      </c>
      <c r="J395" t="s">
        <v>2551</v>
      </c>
      <c r="K395" t="str">
        <f t="shared" si="23"/>
        <v>Gold Mouse (XL)</v>
      </c>
      <c r="L395" t="str">
        <f t="shared" ref="L395:L458" si="24">REPLACE(F395, 1, FIND(", ", F395) + 1, "")</f>
        <v>Evelyn</v>
      </c>
      <c r="M395" t="str">
        <f>SUBSTITUTE(Table1[[#This Row],[Raw_Address]], ", ", " - ")</f>
        <v>Miami - FL</v>
      </c>
      <c r="N395" t="str">
        <f t="shared" ref="N395:N458" si="25">"Q" &amp; ROUNDUP(MONTH(H395)/3, 0) &amp; "-" &amp; YEAR(H395)</f>
        <v>Q4-2026</v>
      </c>
      <c r="O395" t="str">
        <f t="shared" ref="O395:O458" si="26">"INV/" &amp; RIGHT(A395, 5) &amp; "/" &amp; UPPER(TEXT(H395, "mmm"))</f>
        <v>INV/00392/OCT</v>
      </c>
    </row>
    <row r="396" spans="1:15" x14ac:dyDescent="0.35">
      <c r="A396" s="3" t="s">
        <v>1999</v>
      </c>
      <c r="B396" s="3" t="s">
        <v>1442</v>
      </c>
      <c r="C396" s="3" t="s">
        <v>18</v>
      </c>
      <c r="D396" s="3" t="s">
        <v>1443</v>
      </c>
      <c r="E396" s="3" t="s">
        <v>1444</v>
      </c>
      <c r="F396" t="s">
        <v>1692</v>
      </c>
      <c r="G396" t="s">
        <v>1509</v>
      </c>
      <c r="H396" s="7">
        <v>46023</v>
      </c>
      <c r="I396" s="7">
        <v>46032</v>
      </c>
      <c r="J396" t="s">
        <v>2552</v>
      </c>
      <c r="K396" t="str">
        <f t="shared" ref="K396:K459" si="27">C396 &amp; " " &amp; B396 &amp; " (" &amp; D396 &amp; ")"</f>
        <v>White Camera (S)</v>
      </c>
      <c r="L396" t="str">
        <f t="shared" si="24"/>
        <v>Scarlett</v>
      </c>
      <c r="M396" t="str">
        <f>SUBSTITUTE(Table1[[#This Row],[Raw_Address]], ", ", " - ")</f>
        <v>Charlotte - NC</v>
      </c>
      <c r="N396" t="str">
        <f t="shared" si="25"/>
        <v>Q1-2026</v>
      </c>
      <c r="O396" t="str">
        <f t="shared" si="26"/>
        <v>INV/00393/JAN</v>
      </c>
    </row>
    <row r="397" spans="1:15" x14ac:dyDescent="0.35">
      <c r="A397" s="3" t="s">
        <v>2000</v>
      </c>
      <c r="B397" s="3" t="s">
        <v>1453</v>
      </c>
      <c r="C397" s="3" t="s">
        <v>1431</v>
      </c>
      <c r="D397" s="3" t="s">
        <v>1454</v>
      </c>
      <c r="E397" s="3" t="s">
        <v>1455</v>
      </c>
      <c r="F397" t="s">
        <v>1694</v>
      </c>
      <c r="G397" t="s">
        <v>1513</v>
      </c>
      <c r="H397" s="7">
        <v>46118</v>
      </c>
      <c r="I397" s="7">
        <v>46130</v>
      </c>
      <c r="J397" t="s">
        <v>2553</v>
      </c>
      <c r="K397" t="str">
        <f t="shared" si="27"/>
        <v>Gold Desk Lamp (L)</v>
      </c>
      <c r="L397" t="str">
        <f t="shared" si="24"/>
        <v>Sofia</v>
      </c>
      <c r="M397" t="str">
        <f>SUBSTITUTE(Table1[[#This Row],[Raw_Address]], ", ", " - ")</f>
        <v>Austin - TX</v>
      </c>
      <c r="N397" t="str">
        <f t="shared" si="25"/>
        <v>Q2-2026</v>
      </c>
      <c r="O397" t="str">
        <f t="shared" si="26"/>
        <v>INV/00394/APR</v>
      </c>
    </row>
    <row r="398" spans="1:15" x14ac:dyDescent="0.35">
      <c r="A398" s="3" t="s">
        <v>2001</v>
      </c>
      <c r="B398" s="3" t="s">
        <v>1464</v>
      </c>
      <c r="C398" s="3" t="s">
        <v>18</v>
      </c>
      <c r="D398" s="3" t="s">
        <v>1465</v>
      </c>
      <c r="E398" s="3" t="s">
        <v>1466</v>
      </c>
      <c r="F398" t="s">
        <v>1696</v>
      </c>
      <c r="G398" t="s">
        <v>1517</v>
      </c>
      <c r="H398" s="7">
        <v>46214</v>
      </c>
      <c r="I398" s="7">
        <v>46229</v>
      </c>
      <c r="J398" t="s">
        <v>2554</v>
      </c>
      <c r="K398" t="str">
        <f t="shared" si="27"/>
        <v>White Notebook (XS)</v>
      </c>
      <c r="L398" t="str">
        <f t="shared" si="24"/>
        <v>Priya</v>
      </c>
      <c r="M398" t="str">
        <f>SUBSTITUTE(Table1[[#This Row],[Raw_Address]], ", ", " - ")</f>
        <v>San Diego - CA</v>
      </c>
      <c r="N398" t="str">
        <f t="shared" si="25"/>
        <v>Q3-2026</v>
      </c>
      <c r="O398" t="str">
        <f t="shared" si="26"/>
        <v>INV/00395/JUL</v>
      </c>
    </row>
    <row r="399" spans="1:15" x14ac:dyDescent="0.35">
      <c r="A399" s="3" t="s">
        <v>2002</v>
      </c>
      <c r="B399" s="3" t="s">
        <v>1474</v>
      </c>
      <c r="C399" s="3" t="s">
        <v>1431</v>
      </c>
      <c r="D399" s="3" t="s">
        <v>1420</v>
      </c>
      <c r="E399" s="3" t="s">
        <v>1475</v>
      </c>
      <c r="F399" t="s">
        <v>1698</v>
      </c>
      <c r="G399" t="s">
        <v>1521</v>
      </c>
      <c r="H399" s="7">
        <v>46311</v>
      </c>
      <c r="I399" s="7">
        <v>46329</v>
      </c>
      <c r="J399" t="s">
        <v>2555</v>
      </c>
      <c r="K399" t="str">
        <f t="shared" si="27"/>
        <v>Gold Power Bank (M)</v>
      </c>
      <c r="L399" t="str">
        <f t="shared" si="24"/>
        <v>Kabir</v>
      </c>
      <c r="M399" t="str">
        <f>SUBSTITUTE(Table1[[#This Row],[Raw_Address]], ", ", " - ")</f>
        <v>Kansas City - MO</v>
      </c>
      <c r="N399" t="str">
        <f t="shared" si="25"/>
        <v>Q4-2026</v>
      </c>
      <c r="O399" t="str">
        <f t="shared" si="26"/>
        <v>INV/00396/OCT</v>
      </c>
    </row>
    <row r="400" spans="1:15" x14ac:dyDescent="0.35">
      <c r="A400" s="3" t="s">
        <v>2003</v>
      </c>
      <c r="B400" s="3" t="s">
        <v>1419</v>
      </c>
      <c r="C400" s="3" t="s">
        <v>18</v>
      </c>
      <c r="D400" s="3" t="s">
        <v>1432</v>
      </c>
      <c r="E400" s="3" t="s">
        <v>1483</v>
      </c>
      <c r="F400" t="s">
        <v>1700</v>
      </c>
      <c r="G400" t="s">
        <v>1525</v>
      </c>
      <c r="H400" s="7">
        <v>46043</v>
      </c>
      <c r="I400" s="7">
        <v>46064</v>
      </c>
      <c r="J400" t="s">
        <v>2550</v>
      </c>
      <c r="K400" t="str">
        <f t="shared" si="27"/>
        <v>White Tablet (XL)</v>
      </c>
      <c r="L400" t="str">
        <f t="shared" si="24"/>
        <v>Fatima</v>
      </c>
      <c r="M400" t="str">
        <f>SUBSTITUTE(Table1[[#This Row],[Raw_Address]], ", ", " - ")</f>
        <v>Portland - OR</v>
      </c>
      <c r="N400" t="str">
        <f t="shared" si="25"/>
        <v>Q1-2026</v>
      </c>
      <c r="O400" t="str">
        <f t="shared" si="26"/>
        <v>INV/00397/JAN</v>
      </c>
    </row>
    <row r="401" spans="1:15" x14ac:dyDescent="0.35">
      <c r="A401" s="3" t="s">
        <v>2004</v>
      </c>
      <c r="B401" s="3" t="s">
        <v>1430</v>
      </c>
      <c r="C401" s="3" t="s">
        <v>1431</v>
      </c>
      <c r="D401" s="3" t="s">
        <v>1443</v>
      </c>
      <c r="E401" s="3" t="s">
        <v>1487</v>
      </c>
      <c r="F401" t="s">
        <v>1702</v>
      </c>
      <c r="G401" t="s">
        <v>1529</v>
      </c>
      <c r="H401" s="7">
        <v>46138</v>
      </c>
      <c r="I401" s="7">
        <v>46162</v>
      </c>
      <c r="J401" t="s">
        <v>2551</v>
      </c>
      <c r="K401" t="str">
        <f t="shared" si="27"/>
        <v>Gold Mouse (S)</v>
      </c>
      <c r="L401" t="str">
        <f t="shared" si="24"/>
        <v>Grace</v>
      </c>
      <c r="M401" t="str">
        <f>SUBSTITUTE(Table1[[#This Row],[Raw_Address]], ", ", " - ")</f>
        <v>Las Vegas - NV</v>
      </c>
      <c r="N401" t="str">
        <f t="shared" si="25"/>
        <v>Q2-2026</v>
      </c>
      <c r="O401" t="str">
        <f t="shared" si="26"/>
        <v>INV/00398/APR</v>
      </c>
    </row>
    <row r="402" spans="1:15" x14ac:dyDescent="0.35">
      <c r="A402" s="3" t="s">
        <v>2005</v>
      </c>
      <c r="B402" s="3" t="s">
        <v>1442</v>
      </c>
      <c r="C402" s="3" t="s">
        <v>18</v>
      </c>
      <c r="D402" s="3" t="s">
        <v>1454</v>
      </c>
      <c r="E402" s="3" t="s">
        <v>1491</v>
      </c>
      <c r="F402" t="s">
        <v>1704</v>
      </c>
      <c r="G402" t="s">
        <v>1533</v>
      </c>
      <c r="H402" s="7">
        <v>46206</v>
      </c>
      <c r="I402" s="7">
        <v>46233</v>
      </c>
      <c r="J402" t="s">
        <v>2552</v>
      </c>
      <c r="K402" t="str">
        <f t="shared" si="27"/>
        <v>White Camera (L)</v>
      </c>
      <c r="L402" t="str">
        <f t="shared" si="24"/>
        <v>David</v>
      </c>
      <c r="M402" t="str">
        <f>SUBSTITUTE(Table1[[#This Row],[Raw_Address]], ", ", " - ")</f>
        <v>Chicago - IL</v>
      </c>
      <c r="N402" t="str">
        <f t="shared" si="25"/>
        <v>Q3-2026</v>
      </c>
      <c r="O402" t="str">
        <f t="shared" si="26"/>
        <v>INV/00399/JUL</v>
      </c>
    </row>
    <row r="403" spans="1:15" x14ac:dyDescent="0.35">
      <c r="A403" s="3" t="s">
        <v>2006</v>
      </c>
      <c r="B403" s="3" t="s">
        <v>1453</v>
      </c>
      <c r="C403" s="3" t="s">
        <v>1431</v>
      </c>
      <c r="D403" s="3" t="s">
        <v>1465</v>
      </c>
      <c r="E403" s="3" t="s">
        <v>1495</v>
      </c>
      <c r="F403" t="s">
        <v>1706</v>
      </c>
      <c r="G403" t="s">
        <v>1537</v>
      </c>
      <c r="H403" s="7">
        <v>46303</v>
      </c>
      <c r="I403" s="7">
        <v>46333</v>
      </c>
      <c r="J403" t="s">
        <v>2553</v>
      </c>
      <c r="K403" t="str">
        <f t="shared" si="27"/>
        <v>Gold Desk Lamp (XS)</v>
      </c>
      <c r="L403" t="str">
        <f t="shared" si="24"/>
        <v>Anaya</v>
      </c>
      <c r="M403" t="str">
        <f>SUBSTITUTE(Table1[[#This Row],[Raw_Address]], ", ", " - ")</f>
        <v>Detroit - MI</v>
      </c>
      <c r="N403" t="str">
        <f t="shared" si="25"/>
        <v>Q4-2026</v>
      </c>
      <c r="O403" t="str">
        <f t="shared" si="26"/>
        <v>INV/00400/OCT</v>
      </c>
    </row>
    <row r="404" spans="1:15" x14ac:dyDescent="0.35">
      <c r="A404" s="3" t="s">
        <v>2007</v>
      </c>
      <c r="B404" s="3" t="s">
        <v>1464</v>
      </c>
      <c r="C404" s="3" t="s">
        <v>18</v>
      </c>
      <c r="D404" s="3" t="s">
        <v>1420</v>
      </c>
      <c r="E404" s="3" t="s">
        <v>1499</v>
      </c>
      <c r="F404" t="s">
        <v>1422</v>
      </c>
      <c r="G404" t="s">
        <v>1423</v>
      </c>
      <c r="H404" s="7">
        <v>46035</v>
      </c>
      <c r="I404" s="7">
        <v>46038</v>
      </c>
      <c r="J404" t="s">
        <v>2554</v>
      </c>
      <c r="K404" t="str">
        <f t="shared" si="27"/>
        <v>White Notebook (M)</v>
      </c>
      <c r="L404" t="str">
        <f t="shared" si="24"/>
        <v>Emma</v>
      </c>
      <c r="M404" t="str">
        <f>SUBSTITUTE(Table1[[#This Row],[Raw_Address]], ", ", " - ")</f>
        <v>Boston - MA</v>
      </c>
      <c r="N404" t="str">
        <f t="shared" si="25"/>
        <v>Q1-2026</v>
      </c>
      <c r="O404" t="str">
        <f t="shared" si="26"/>
        <v>INV/00401/JAN</v>
      </c>
    </row>
    <row r="405" spans="1:15" x14ac:dyDescent="0.35">
      <c r="A405" s="3" t="s">
        <v>2008</v>
      </c>
      <c r="B405" s="3" t="s">
        <v>1474</v>
      </c>
      <c r="C405" s="3" t="s">
        <v>1431</v>
      </c>
      <c r="D405" s="3" t="s">
        <v>1432</v>
      </c>
      <c r="E405" s="3" t="s">
        <v>1503</v>
      </c>
      <c r="F405" t="s">
        <v>1434</v>
      </c>
      <c r="G405" t="s">
        <v>1435</v>
      </c>
      <c r="H405" s="7">
        <v>46130</v>
      </c>
      <c r="I405" s="7">
        <v>46136</v>
      </c>
      <c r="J405" t="s">
        <v>2555</v>
      </c>
      <c r="K405" t="str">
        <f t="shared" si="27"/>
        <v>Gold Power Bank (XL)</v>
      </c>
      <c r="L405" t="str">
        <f t="shared" si="24"/>
        <v>Mason</v>
      </c>
      <c r="M405" t="str">
        <f>SUBSTITUTE(Table1[[#This Row],[Raw_Address]], ", ", " - ")</f>
        <v>Columbus - OH</v>
      </c>
      <c r="N405" t="str">
        <f t="shared" si="25"/>
        <v>Q2-2026</v>
      </c>
      <c r="O405" t="str">
        <f t="shared" si="26"/>
        <v>INV/00402/APR</v>
      </c>
    </row>
    <row r="406" spans="1:15" x14ac:dyDescent="0.35">
      <c r="A406" s="3" t="s">
        <v>2009</v>
      </c>
      <c r="B406" s="3" t="s">
        <v>1419</v>
      </c>
      <c r="C406" s="3" t="s">
        <v>18</v>
      </c>
      <c r="D406" s="3" t="s">
        <v>1443</v>
      </c>
      <c r="E406" s="3" t="s">
        <v>1507</v>
      </c>
      <c r="F406" t="s">
        <v>1445</v>
      </c>
      <c r="G406" t="s">
        <v>1446</v>
      </c>
      <c r="H406" s="7">
        <v>46226</v>
      </c>
      <c r="I406" s="7">
        <v>46235</v>
      </c>
      <c r="J406" t="s">
        <v>2550</v>
      </c>
      <c r="K406" t="str">
        <f t="shared" si="27"/>
        <v>White Tablet (S)</v>
      </c>
      <c r="L406" t="str">
        <f t="shared" si="24"/>
        <v>Amelia</v>
      </c>
      <c r="M406" t="str">
        <f>SUBSTITUTE(Table1[[#This Row],[Raw_Address]], ", ", " - ")</f>
        <v>Denver - CO</v>
      </c>
      <c r="N406" t="str">
        <f t="shared" si="25"/>
        <v>Q3-2026</v>
      </c>
      <c r="O406" t="str">
        <f t="shared" si="26"/>
        <v>INV/00403/JUL</v>
      </c>
    </row>
    <row r="407" spans="1:15" x14ac:dyDescent="0.35">
      <c r="A407" s="3" t="s">
        <v>2010</v>
      </c>
      <c r="B407" s="3" t="s">
        <v>1430</v>
      </c>
      <c r="C407" s="3" t="s">
        <v>1431</v>
      </c>
      <c r="D407" s="3" t="s">
        <v>1454</v>
      </c>
      <c r="E407" s="3" t="s">
        <v>1511</v>
      </c>
      <c r="F407" t="s">
        <v>1456</v>
      </c>
      <c r="G407" t="s">
        <v>1457</v>
      </c>
      <c r="H407" s="7">
        <v>46323</v>
      </c>
      <c r="I407" s="7">
        <v>46335</v>
      </c>
      <c r="J407" t="s">
        <v>2551</v>
      </c>
      <c r="K407" t="str">
        <f t="shared" si="27"/>
        <v>Gold Mouse (L)</v>
      </c>
      <c r="L407" t="str">
        <f t="shared" si="24"/>
        <v>Charlotte</v>
      </c>
      <c r="M407" t="str">
        <f>SUBSTITUTE(Table1[[#This Row],[Raw_Address]], ", ", " - ")</f>
        <v>Dallas - TX</v>
      </c>
      <c r="N407" t="str">
        <f t="shared" si="25"/>
        <v>Q4-2026</v>
      </c>
      <c r="O407" t="str">
        <f t="shared" si="26"/>
        <v>INV/00404/OCT</v>
      </c>
    </row>
    <row r="408" spans="1:15" x14ac:dyDescent="0.35">
      <c r="A408" s="3" t="s">
        <v>2011</v>
      </c>
      <c r="B408" s="3" t="s">
        <v>1442</v>
      </c>
      <c r="C408" s="3" t="s">
        <v>18</v>
      </c>
      <c r="D408" s="3" t="s">
        <v>1465</v>
      </c>
      <c r="E408" s="3" t="s">
        <v>1515</v>
      </c>
      <c r="F408" t="s">
        <v>1467</v>
      </c>
      <c r="G408" t="s">
        <v>1468</v>
      </c>
      <c r="H408" s="7">
        <v>46027</v>
      </c>
      <c r="I408" s="7">
        <v>46042</v>
      </c>
      <c r="J408" t="s">
        <v>2552</v>
      </c>
      <c r="K408" t="str">
        <f t="shared" si="27"/>
        <v>White Camera (XS)</v>
      </c>
      <c r="L408" t="str">
        <f t="shared" si="24"/>
        <v>Henry</v>
      </c>
      <c r="M408" t="str">
        <f>SUBSTITUTE(Table1[[#This Row],[Raw_Address]], ", ", " - ")</f>
        <v>Seattle - WA</v>
      </c>
      <c r="N408" t="str">
        <f t="shared" si="25"/>
        <v>Q1-2026</v>
      </c>
      <c r="O408" t="str">
        <f t="shared" si="26"/>
        <v>INV/00405/JAN</v>
      </c>
    </row>
    <row r="409" spans="1:15" x14ac:dyDescent="0.35">
      <c r="A409" s="3" t="s">
        <v>2012</v>
      </c>
      <c r="B409" s="3" t="s">
        <v>1453</v>
      </c>
      <c r="C409" s="3" t="s">
        <v>1431</v>
      </c>
      <c r="D409" s="3" t="s">
        <v>1420</v>
      </c>
      <c r="E409" s="3" t="s">
        <v>1519</v>
      </c>
      <c r="F409" t="s">
        <v>1476</v>
      </c>
      <c r="G409" t="s">
        <v>1477</v>
      </c>
      <c r="H409" s="7">
        <v>46122</v>
      </c>
      <c r="I409" s="7">
        <v>46140</v>
      </c>
      <c r="J409" t="s">
        <v>2553</v>
      </c>
      <c r="K409" t="str">
        <f t="shared" si="27"/>
        <v>Gold Desk Lamp (M)</v>
      </c>
      <c r="L409" t="str">
        <f t="shared" si="24"/>
        <v>Michael</v>
      </c>
      <c r="M409" t="str">
        <f>SUBSTITUTE(Table1[[#This Row],[Raw_Address]], ", ", " - ")</f>
        <v>Nashville - TN</v>
      </c>
      <c r="N409" t="str">
        <f t="shared" si="25"/>
        <v>Q2-2026</v>
      </c>
      <c r="O409" t="str">
        <f t="shared" si="26"/>
        <v>INV/00406/APR</v>
      </c>
    </row>
    <row r="410" spans="1:15" x14ac:dyDescent="0.35">
      <c r="A410" s="3" t="s">
        <v>2013</v>
      </c>
      <c r="B410" s="3" t="s">
        <v>1464</v>
      </c>
      <c r="C410" s="3" t="s">
        <v>18</v>
      </c>
      <c r="D410" s="3" t="s">
        <v>1432</v>
      </c>
      <c r="E410" s="3" t="s">
        <v>1523</v>
      </c>
      <c r="F410" t="s">
        <v>1484</v>
      </c>
      <c r="G410" t="s">
        <v>1485</v>
      </c>
      <c r="H410" s="7">
        <v>46218</v>
      </c>
      <c r="I410" s="7">
        <v>46239</v>
      </c>
      <c r="J410" t="s">
        <v>2554</v>
      </c>
      <c r="K410" t="str">
        <f t="shared" si="27"/>
        <v>White Notebook (XL)</v>
      </c>
      <c r="L410" t="str">
        <f t="shared" si="24"/>
        <v>Mateo</v>
      </c>
      <c r="M410" t="str">
        <f>SUBSTITUTE(Table1[[#This Row],[Raw_Address]], ", ", " - ")</f>
        <v>Minneapolis - MN</v>
      </c>
      <c r="N410" t="str">
        <f t="shared" si="25"/>
        <v>Q3-2026</v>
      </c>
      <c r="O410" t="str">
        <f t="shared" si="26"/>
        <v>INV/00407/JUL</v>
      </c>
    </row>
    <row r="411" spans="1:15" x14ac:dyDescent="0.35">
      <c r="A411" s="3" t="s">
        <v>2014</v>
      </c>
      <c r="B411" s="3" t="s">
        <v>1474</v>
      </c>
      <c r="C411" s="3" t="s">
        <v>1431</v>
      </c>
      <c r="D411" s="3" t="s">
        <v>1443</v>
      </c>
      <c r="E411" s="3" t="s">
        <v>1527</v>
      </c>
      <c r="F411" t="s">
        <v>1488</v>
      </c>
      <c r="G411" t="s">
        <v>1489</v>
      </c>
      <c r="H411" s="7">
        <v>46315</v>
      </c>
      <c r="I411" s="7">
        <v>46339</v>
      </c>
      <c r="J411" t="s">
        <v>2555</v>
      </c>
      <c r="K411" t="str">
        <f t="shared" si="27"/>
        <v>Gold Power Bank (S)</v>
      </c>
      <c r="L411" t="str">
        <f t="shared" si="24"/>
        <v>Sana</v>
      </c>
      <c r="M411" t="str">
        <f>SUBSTITUTE(Table1[[#This Row],[Raw_Address]], ", ", " - ")</f>
        <v>Atlanta - GA</v>
      </c>
      <c r="N411" t="str">
        <f t="shared" si="25"/>
        <v>Q4-2026</v>
      </c>
      <c r="O411" t="str">
        <f t="shared" si="26"/>
        <v>INV/00408/OCT</v>
      </c>
    </row>
    <row r="412" spans="1:15" x14ac:dyDescent="0.35">
      <c r="A412" s="3" t="s">
        <v>2015</v>
      </c>
      <c r="B412" s="3" t="s">
        <v>1419</v>
      </c>
      <c r="C412" s="3" t="s">
        <v>18</v>
      </c>
      <c r="D412" s="3" t="s">
        <v>1454</v>
      </c>
      <c r="E412" s="3" t="s">
        <v>1531</v>
      </c>
      <c r="F412" t="s">
        <v>1492</v>
      </c>
      <c r="G412" t="s">
        <v>1493</v>
      </c>
      <c r="H412" s="7">
        <v>46047</v>
      </c>
      <c r="I412" s="7">
        <v>46074</v>
      </c>
      <c r="J412" t="s">
        <v>2550</v>
      </c>
      <c r="K412" t="str">
        <f t="shared" si="27"/>
        <v>White Tablet (L)</v>
      </c>
      <c r="L412" t="str">
        <f t="shared" si="24"/>
        <v>Omar</v>
      </c>
      <c r="M412" t="str">
        <f>SUBSTITUTE(Table1[[#This Row],[Raw_Address]], ", ", " - ")</f>
        <v>Tampa - FL</v>
      </c>
      <c r="N412" t="str">
        <f t="shared" si="25"/>
        <v>Q1-2026</v>
      </c>
      <c r="O412" t="str">
        <f t="shared" si="26"/>
        <v>INV/00409/JAN</v>
      </c>
    </row>
    <row r="413" spans="1:15" x14ac:dyDescent="0.35">
      <c r="A413" s="3" t="s">
        <v>2016</v>
      </c>
      <c r="B413" s="3" t="s">
        <v>1430</v>
      </c>
      <c r="C413" s="3" t="s">
        <v>1431</v>
      </c>
      <c r="D413" s="3" t="s">
        <v>1465</v>
      </c>
      <c r="E413" s="3" t="s">
        <v>1535</v>
      </c>
      <c r="F413" t="s">
        <v>1496</v>
      </c>
      <c r="G413" t="s">
        <v>1497</v>
      </c>
      <c r="H413" s="7">
        <v>46114</v>
      </c>
      <c r="I413" s="7">
        <v>46144</v>
      </c>
      <c r="J413" t="s">
        <v>2551</v>
      </c>
      <c r="K413" t="str">
        <f t="shared" si="27"/>
        <v>Gold Mouse (XS)</v>
      </c>
      <c r="L413" t="str">
        <f t="shared" si="24"/>
        <v>Nina</v>
      </c>
      <c r="M413" t="str">
        <f>SUBSTITUTE(Table1[[#This Row],[Raw_Address]], ", ", " - ")</f>
        <v>Phoenix - AZ</v>
      </c>
      <c r="N413" t="str">
        <f t="shared" si="25"/>
        <v>Q2-2026</v>
      </c>
      <c r="O413" t="str">
        <f t="shared" si="26"/>
        <v>INV/00410/APR</v>
      </c>
    </row>
    <row r="414" spans="1:15" x14ac:dyDescent="0.35">
      <c r="A414" s="3" t="s">
        <v>2017</v>
      </c>
      <c r="B414" s="3" t="s">
        <v>1442</v>
      </c>
      <c r="C414" s="3" t="s">
        <v>18</v>
      </c>
      <c r="D414" s="3" t="s">
        <v>1420</v>
      </c>
      <c r="E414" s="3" t="s">
        <v>1539</v>
      </c>
      <c r="F414" t="s">
        <v>1500</v>
      </c>
      <c r="G414" t="s">
        <v>1501</v>
      </c>
      <c r="H414" s="7">
        <v>46210</v>
      </c>
      <c r="I414" s="7">
        <v>46213</v>
      </c>
      <c r="J414" t="s">
        <v>2552</v>
      </c>
      <c r="K414" t="str">
        <f t="shared" si="27"/>
        <v>White Camera (M)</v>
      </c>
      <c r="L414" t="str">
        <f t="shared" si="24"/>
        <v>Jack</v>
      </c>
      <c r="M414" t="str">
        <f>SUBSTITUTE(Table1[[#This Row],[Raw_Address]], ", ", " - ")</f>
        <v>Raleigh - NC</v>
      </c>
      <c r="N414" t="str">
        <f t="shared" si="25"/>
        <v>Q3-2026</v>
      </c>
      <c r="O414" t="str">
        <f t="shared" si="26"/>
        <v>INV/00411/JUL</v>
      </c>
    </row>
    <row r="415" spans="1:15" x14ac:dyDescent="0.35">
      <c r="A415" s="3" t="s">
        <v>2018</v>
      </c>
      <c r="B415" s="3" t="s">
        <v>1453</v>
      </c>
      <c r="C415" s="3" t="s">
        <v>1431</v>
      </c>
      <c r="D415" s="3" t="s">
        <v>1432</v>
      </c>
      <c r="E415" s="3" t="s">
        <v>1542</v>
      </c>
      <c r="F415" t="s">
        <v>1504</v>
      </c>
      <c r="G415" t="s">
        <v>1505</v>
      </c>
      <c r="H415" s="7">
        <v>46307</v>
      </c>
      <c r="I415" s="7">
        <v>46313</v>
      </c>
      <c r="J415" t="s">
        <v>2553</v>
      </c>
      <c r="K415" t="str">
        <f t="shared" si="27"/>
        <v>Gold Desk Lamp (XL)</v>
      </c>
      <c r="L415" t="str">
        <f t="shared" si="24"/>
        <v>Victor</v>
      </c>
      <c r="M415" t="str">
        <f>SUBSTITUTE(Table1[[#This Row],[Raw_Address]], ", ", " - ")</f>
        <v>Miami - FL</v>
      </c>
      <c r="N415" t="str">
        <f t="shared" si="25"/>
        <v>Q4-2026</v>
      </c>
      <c r="O415" t="str">
        <f t="shared" si="26"/>
        <v>INV/00412/OCT</v>
      </c>
    </row>
    <row r="416" spans="1:15" x14ac:dyDescent="0.35">
      <c r="A416" s="3" t="s">
        <v>2019</v>
      </c>
      <c r="B416" s="3" t="s">
        <v>1464</v>
      </c>
      <c r="C416" s="3" t="s">
        <v>18</v>
      </c>
      <c r="D416" s="3" t="s">
        <v>1443</v>
      </c>
      <c r="E416" s="3" t="s">
        <v>1545</v>
      </c>
      <c r="F416" t="s">
        <v>1508</v>
      </c>
      <c r="G416" t="s">
        <v>1509</v>
      </c>
      <c r="H416" s="7">
        <v>46039</v>
      </c>
      <c r="I416" s="7">
        <v>46048</v>
      </c>
      <c r="J416" t="s">
        <v>2554</v>
      </c>
      <c r="K416" t="str">
        <f t="shared" si="27"/>
        <v>White Notebook (S)</v>
      </c>
      <c r="L416" t="str">
        <f t="shared" si="24"/>
        <v>Liam</v>
      </c>
      <c r="M416" t="str">
        <f>SUBSTITUTE(Table1[[#This Row],[Raw_Address]], ", ", " - ")</f>
        <v>Charlotte - NC</v>
      </c>
      <c r="N416" t="str">
        <f t="shared" si="25"/>
        <v>Q1-2026</v>
      </c>
      <c r="O416" t="str">
        <f t="shared" si="26"/>
        <v>INV/00413/JAN</v>
      </c>
    </row>
    <row r="417" spans="1:15" x14ac:dyDescent="0.35">
      <c r="A417" s="3" t="s">
        <v>2020</v>
      </c>
      <c r="B417" s="3" t="s">
        <v>1474</v>
      </c>
      <c r="C417" s="3" t="s">
        <v>1431</v>
      </c>
      <c r="D417" s="3" t="s">
        <v>1454</v>
      </c>
      <c r="E417" s="3" t="s">
        <v>1548</v>
      </c>
      <c r="F417" t="s">
        <v>1512</v>
      </c>
      <c r="G417" t="s">
        <v>1513</v>
      </c>
      <c r="H417" s="7">
        <v>46134</v>
      </c>
      <c r="I417" s="7">
        <v>46146</v>
      </c>
      <c r="J417" t="s">
        <v>2555</v>
      </c>
      <c r="K417" t="str">
        <f t="shared" si="27"/>
        <v>Gold Power Bank (L)</v>
      </c>
      <c r="L417" t="str">
        <f t="shared" si="24"/>
        <v>Elijah</v>
      </c>
      <c r="M417" t="str">
        <f>SUBSTITUTE(Table1[[#This Row],[Raw_Address]], ", ", " - ")</f>
        <v>Austin - TX</v>
      </c>
      <c r="N417" t="str">
        <f t="shared" si="25"/>
        <v>Q2-2026</v>
      </c>
      <c r="O417" t="str">
        <f t="shared" si="26"/>
        <v>INV/00414/APR</v>
      </c>
    </row>
    <row r="418" spans="1:15" x14ac:dyDescent="0.35">
      <c r="A418" s="3" t="s">
        <v>2021</v>
      </c>
      <c r="B418" s="3" t="s">
        <v>1419</v>
      </c>
      <c r="C418" s="3" t="s">
        <v>18</v>
      </c>
      <c r="D418" s="3" t="s">
        <v>1465</v>
      </c>
      <c r="E418" s="3" t="s">
        <v>1551</v>
      </c>
      <c r="F418" t="s">
        <v>1516</v>
      </c>
      <c r="G418" t="s">
        <v>1517</v>
      </c>
      <c r="H418" s="7">
        <v>46230</v>
      </c>
      <c r="I418" s="7">
        <v>46245</v>
      </c>
      <c r="J418" t="s">
        <v>2550</v>
      </c>
      <c r="K418" t="str">
        <f t="shared" si="27"/>
        <v>White Tablet (XS)</v>
      </c>
      <c r="L418" t="str">
        <f t="shared" si="24"/>
        <v>Lucas</v>
      </c>
      <c r="M418" t="str">
        <f>SUBSTITUTE(Table1[[#This Row],[Raw_Address]], ", ", " - ")</f>
        <v>San Diego - CA</v>
      </c>
      <c r="N418" t="str">
        <f t="shared" si="25"/>
        <v>Q3-2026</v>
      </c>
      <c r="O418" t="str">
        <f t="shared" si="26"/>
        <v>INV/00415/JUL</v>
      </c>
    </row>
    <row r="419" spans="1:15" x14ac:dyDescent="0.35">
      <c r="A419" s="3" t="s">
        <v>2022</v>
      </c>
      <c r="B419" s="3" t="s">
        <v>1430</v>
      </c>
      <c r="C419" s="3" t="s">
        <v>1431</v>
      </c>
      <c r="D419" s="3" t="s">
        <v>1420</v>
      </c>
      <c r="E419" s="3" t="s">
        <v>1554</v>
      </c>
      <c r="F419" t="s">
        <v>1520</v>
      </c>
      <c r="G419" t="s">
        <v>1521</v>
      </c>
      <c r="H419" s="7">
        <v>46299</v>
      </c>
      <c r="I419" s="7">
        <v>46317</v>
      </c>
      <c r="J419" t="s">
        <v>2551</v>
      </c>
      <c r="K419" t="str">
        <f t="shared" si="27"/>
        <v>Gold Mouse (M)</v>
      </c>
      <c r="L419" t="str">
        <f t="shared" si="24"/>
        <v>Ethan</v>
      </c>
      <c r="M419" t="str">
        <f>SUBSTITUTE(Table1[[#This Row],[Raw_Address]], ", ", " - ")</f>
        <v>Kansas City - MO</v>
      </c>
      <c r="N419" t="str">
        <f t="shared" si="25"/>
        <v>Q4-2026</v>
      </c>
      <c r="O419" t="str">
        <f t="shared" si="26"/>
        <v>INV/00416/OCT</v>
      </c>
    </row>
    <row r="420" spans="1:15" x14ac:dyDescent="0.35">
      <c r="A420" s="3" t="s">
        <v>2023</v>
      </c>
      <c r="B420" s="3" t="s">
        <v>1442</v>
      </c>
      <c r="C420" s="3" t="s">
        <v>18</v>
      </c>
      <c r="D420" s="3" t="s">
        <v>1432</v>
      </c>
      <c r="E420" s="3" t="s">
        <v>1557</v>
      </c>
      <c r="F420" t="s">
        <v>1524</v>
      </c>
      <c r="G420" t="s">
        <v>1525</v>
      </c>
      <c r="H420" s="7">
        <v>46031</v>
      </c>
      <c r="I420" s="7">
        <v>46052</v>
      </c>
      <c r="J420" t="s">
        <v>2552</v>
      </c>
      <c r="K420" t="str">
        <f t="shared" si="27"/>
        <v>White Camera (XL)</v>
      </c>
      <c r="L420" t="str">
        <f t="shared" si="24"/>
        <v>Evelyn</v>
      </c>
      <c r="M420" t="str">
        <f>SUBSTITUTE(Table1[[#This Row],[Raw_Address]], ", ", " - ")</f>
        <v>Portland - OR</v>
      </c>
      <c r="N420" t="str">
        <f t="shared" si="25"/>
        <v>Q1-2026</v>
      </c>
      <c r="O420" t="str">
        <f t="shared" si="26"/>
        <v>INV/00417/JAN</v>
      </c>
    </row>
    <row r="421" spans="1:15" x14ac:dyDescent="0.35">
      <c r="A421" s="3" t="s">
        <v>2024</v>
      </c>
      <c r="B421" s="3" t="s">
        <v>1453</v>
      </c>
      <c r="C421" s="3" t="s">
        <v>1431</v>
      </c>
      <c r="D421" s="3" t="s">
        <v>1443</v>
      </c>
      <c r="E421" s="3" t="s">
        <v>1560</v>
      </c>
      <c r="F421" t="s">
        <v>1528</v>
      </c>
      <c r="G421" t="s">
        <v>1529</v>
      </c>
      <c r="H421" s="7">
        <v>46126</v>
      </c>
      <c r="I421" s="7">
        <v>46150</v>
      </c>
      <c r="J421" t="s">
        <v>2553</v>
      </c>
      <c r="K421" t="str">
        <f t="shared" si="27"/>
        <v>Gold Desk Lamp (S)</v>
      </c>
      <c r="L421" t="str">
        <f t="shared" si="24"/>
        <v>Scarlett</v>
      </c>
      <c r="M421" t="str">
        <f>SUBSTITUTE(Table1[[#This Row],[Raw_Address]], ", ", " - ")</f>
        <v>Las Vegas - NV</v>
      </c>
      <c r="N421" t="str">
        <f t="shared" si="25"/>
        <v>Q2-2026</v>
      </c>
      <c r="O421" t="str">
        <f t="shared" si="26"/>
        <v>INV/00418/APR</v>
      </c>
    </row>
    <row r="422" spans="1:15" x14ac:dyDescent="0.35">
      <c r="A422" s="3" t="s">
        <v>2025</v>
      </c>
      <c r="B422" s="3" t="s">
        <v>1464</v>
      </c>
      <c r="C422" s="3" t="s">
        <v>18</v>
      </c>
      <c r="D422" s="3" t="s">
        <v>1454</v>
      </c>
      <c r="E422" s="3" t="s">
        <v>1563</v>
      </c>
      <c r="F422" t="s">
        <v>1532</v>
      </c>
      <c r="G422" t="s">
        <v>1533</v>
      </c>
      <c r="H422" s="7">
        <v>46222</v>
      </c>
      <c r="I422" s="7">
        <v>46249</v>
      </c>
      <c r="J422" t="s">
        <v>2554</v>
      </c>
      <c r="K422" t="str">
        <f t="shared" si="27"/>
        <v>White Notebook (L)</v>
      </c>
      <c r="L422" t="str">
        <f t="shared" si="24"/>
        <v>Sofia</v>
      </c>
      <c r="M422" t="str">
        <f>SUBSTITUTE(Table1[[#This Row],[Raw_Address]], ", ", " - ")</f>
        <v>Chicago - IL</v>
      </c>
      <c r="N422" t="str">
        <f t="shared" si="25"/>
        <v>Q3-2026</v>
      </c>
      <c r="O422" t="str">
        <f t="shared" si="26"/>
        <v>INV/00419/JUL</v>
      </c>
    </row>
    <row r="423" spans="1:15" x14ac:dyDescent="0.35">
      <c r="A423" s="3" t="s">
        <v>2026</v>
      </c>
      <c r="B423" s="3" t="s">
        <v>1474</v>
      </c>
      <c r="C423" s="3" t="s">
        <v>1431</v>
      </c>
      <c r="D423" s="3" t="s">
        <v>1465</v>
      </c>
      <c r="E423" s="3" t="s">
        <v>1566</v>
      </c>
      <c r="F423" t="s">
        <v>1536</v>
      </c>
      <c r="G423" t="s">
        <v>1537</v>
      </c>
      <c r="H423" s="7">
        <v>46319</v>
      </c>
      <c r="I423" s="7">
        <v>46349</v>
      </c>
      <c r="J423" t="s">
        <v>2555</v>
      </c>
      <c r="K423" t="str">
        <f t="shared" si="27"/>
        <v>Gold Power Bank (XS)</v>
      </c>
      <c r="L423" t="str">
        <f t="shared" si="24"/>
        <v>Priya</v>
      </c>
      <c r="M423" t="str">
        <f>SUBSTITUTE(Table1[[#This Row],[Raw_Address]], ", ", " - ")</f>
        <v>Detroit - MI</v>
      </c>
      <c r="N423" t="str">
        <f t="shared" si="25"/>
        <v>Q4-2026</v>
      </c>
      <c r="O423" t="str">
        <f t="shared" si="26"/>
        <v>INV/00420/OCT</v>
      </c>
    </row>
    <row r="424" spans="1:15" x14ac:dyDescent="0.35">
      <c r="A424" s="3" t="s">
        <v>2027</v>
      </c>
      <c r="B424" s="3" t="s">
        <v>1419</v>
      </c>
      <c r="C424" s="3" t="s">
        <v>18</v>
      </c>
      <c r="D424" s="3" t="s">
        <v>1420</v>
      </c>
      <c r="E424" s="3" t="s">
        <v>1421</v>
      </c>
      <c r="F424" t="s">
        <v>1540</v>
      </c>
      <c r="G424" t="s">
        <v>1423</v>
      </c>
      <c r="H424" s="7">
        <v>46023</v>
      </c>
      <c r="I424" s="7">
        <v>46026</v>
      </c>
      <c r="J424" t="s">
        <v>2550</v>
      </c>
      <c r="K424" t="str">
        <f t="shared" si="27"/>
        <v>White Tablet (M)</v>
      </c>
      <c r="L424" t="str">
        <f t="shared" si="24"/>
        <v>Kabir</v>
      </c>
      <c r="M424" t="str">
        <f>SUBSTITUTE(Table1[[#This Row],[Raw_Address]], ", ", " - ")</f>
        <v>Boston - MA</v>
      </c>
      <c r="N424" t="str">
        <f t="shared" si="25"/>
        <v>Q1-2026</v>
      </c>
      <c r="O424" t="str">
        <f t="shared" si="26"/>
        <v>INV/00421/JAN</v>
      </c>
    </row>
    <row r="425" spans="1:15" x14ac:dyDescent="0.35">
      <c r="A425" s="3" t="s">
        <v>2028</v>
      </c>
      <c r="B425" s="3" t="s">
        <v>1430</v>
      </c>
      <c r="C425" s="3" t="s">
        <v>1431</v>
      </c>
      <c r="D425" s="3" t="s">
        <v>1432</v>
      </c>
      <c r="E425" s="3" t="s">
        <v>1433</v>
      </c>
      <c r="F425" t="s">
        <v>1543</v>
      </c>
      <c r="G425" t="s">
        <v>1435</v>
      </c>
      <c r="H425" s="7">
        <v>46118</v>
      </c>
      <c r="I425" s="7">
        <v>46124</v>
      </c>
      <c r="J425" t="s">
        <v>2551</v>
      </c>
      <c r="K425" t="str">
        <f t="shared" si="27"/>
        <v>Gold Mouse (XL)</v>
      </c>
      <c r="L425" t="str">
        <f t="shared" si="24"/>
        <v>Fatima</v>
      </c>
      <c r="M425" t="str">
        <f>SUBSTITUTE(Table1[[#This Row],[Raw_Address]], ", ", " - ")</f>
        <v>Columbus - OH</v>
      </c>
      <c r="N425" t="str">
        <f t="shared" si="25"/>
        <v>Q2-2026</v>
      </c>
      <c r="O425" t="str">
        <f t="shared" si="26"/>
        <v>INV/00422/APR</v>
      </c>
    </row>
    <row r="426" spans="1:15" x14ac:dyDescent="0.35">
      <c r="A426" s="3" t="s">
        <v>2029</v>
      </c>
      <c r="B426" s="3" t="s">
        <v>1442</v>
      </c>
      <c r="C426" s="3" t="s">
        <v>18</v>
      </c>
      <c r="D426" s="3" t="s">
        <v>1443</v>
      </c>
      <c r="E426" s="3" t="s">
        <v>1444</v>
      </c>
      <c r="F426" t="s">
        <v>1546</v>
      </c>
      <c r="G426" t="s">
        <v>1446</v>
      </c>
      <c r="H426" s="7">
        <v>46214</v>
      </c>
      <c r="I426" s="7">
        <v>46223</v>
      </c>
      <c r="J426" t="s">
        <v>2552</v>
      </c>
      <c r="K426" t="str">
        <f t="shared" si="27"/>
        <v>White Camera (S)</v>
      </c>
      <c r="L426" t="str">
        <f t="shared" si="24"/>
        <v>Grace</v>
      </c>
      <c r="M426" t="str">
        <f>SUBSTITUTE(Table1[[#This Row],[Raw_Address]], ", ", " - ")</f>
        <v>Denver - CO</v>
      </c>
      <c r="N426" t="str">
        <f t="shared" si="25"/>
        <v>Q3-2026</v>
      </c>
      <c r="O426" t="str">
        <f t="shared" si="26"/>
        <v>INV/00423/JUL</v>
      </c>
    </row>
    <row r="427" spans="1:15" x14ac:dyDescent="0.35">
      <c r="A427" s="3" t="s">
        <v>2030</v>
      </c>
      <c r="B427" s="3" t="s">
        <v>1453</v>
      </c>
      <c r="C427" s="3" t="s">
        <v>1431</v>
      </c>
      <c r="D427" s="3" t="s">
        <v>1454</v>
      </c>
      <c r="E427" s="3" t="s">
        <v>1455</v>
      </c>
      <c r="F427" t="s">
        <v>1549</v>
      </c>
      <c r="G427" t="s">
        <v>1457</v>
      </c>
      <c r="H427" s="7">
        <v>46311</v>
      </c>
      <c r="I427" s="7">
        <v>46323</v>
      </c>
      <c r="J427" t="s">
        <v>2553</v>
      </c>
      <c r="K427" t="str">
        <f t="shared" si="27"/>
        <v>Gold Desk Lamp (L)</v>
      </c>
      <c r="L427" t="str">
        <f t="shared" si="24"/>
        <v>David</v>
      </c>
      <c r="M427" t="str">
        <f>SUBSTITUTE(Table1[[#This Row],[Raw_Address]], ", ", " - ")</f>
        <v>Dallas - TX</v>
      </c>
      <c r="N427" t="str">
        <f t="shared" si="25"/>
        <v>Q4-2026</v>
      </c>
      <c r="O427" t="str">
        <f t="shared" si="26"/>
        <v>INV/00424/OCT</v>
      </c>
    </row>
    <row r="428" spans="1:15" x14ac:dyDescent="0.35">
      <c r="A428" s="3" t="s">
        <v>2031</v>
      </c>
      <c r="B428" s="3" t="s">
        <v>1464</v>
      </c>
      <c r="C428" s="3" t="s">
        <v>18</v>
      </c>
      <c r="D428" s="3" t="s">
        <v>1465</v>
      </c>
      <c r="E428" s="3" t="s">
        <v>1466</v>
      </c>
      <c r="F428" t="s">
        <v>1552</v>
      </c>
      <c r="G428" t="s">
        <v>1468</v>
      </c>
      <c r="H428" s="7">
        <v>46043</v>
      </c>
      <c r="I428" s="7">
        <v>46058</v>
      </c>
      <c r="J428" t="s">
        <v>2554</v>
      </c>
      <c r="K428" t="str">
        <f t="shared" si="27"/>
        <v>White Notebook (XS)</v>
      </c>
      <c r="L428" t="str">
        <f t="shared" si="24"/>
        <v>Anaya</v>
      </c>
      <c r="M428" t="str">
        <f>SUBSTITUTE(Table1[[#This Row],[Raw_Address]], ", ", " - ")</f>
        <v>Seattle - WA</v>
      </c>
      <c r="N428" t="str">
        <f t="shared" si="25"/>
        <v>Q1-2026</v>
      </c>
      <c r="O428" t="str">
        <f t="shared" si="26"/>
        <v>INV/00425/JAN</v>
      </c>
    </row>
    <row r="429" spans="1:15" x14ac:dyDescent="0.35">
      <c r="A429" s="3" t="s">
        <v>2032</v>
      </c>
      <c r="B429" s="3" t="s">
        <v>1474</v>
      </c>
      <c r="C429" s="3" t="s">
        <v>1431</v>
      </c>
      <c r="D429" s="3" t="s">
        <v>1420</v>
      </c>
      <c r="E429" s="3" t="s">
        <v>1475</v>
      </c>
      <c r="F429" t="s">
        <v>1555</v>
      </c>
      <c r="G429" t="s">
        <v>1477</v>
      </c>
      <c r="H429" s="7">
        <v>46138</v>
      </c>
      <c r="I429" s="7">
        <v>46156</v>
      </c>
      <c r="J429" t="s">
        <v>2555</v>
      </c>
      <c r="K429" t="str">
        <f t="shared" si="27"/>
        <v>Gold Power Bank (M)</v>
      </c>
      <c r="L429" t="str">
        <f t="shared" si="24"/>
        <v>Emma</v>
      </c>
      <c r="M429" t="str">
        <f>SUBSTITUTE(Table1[[#This Row],[Raw_Address]], ", ", " - ")</f>
        <v>Nashville - TN</v>
      </c>
      <c r="N429" t="str">
        <f t="shared" si="25"/>
        <v>Q2-2026</v>
      </c>
      <c r="O429" t="str">
        <f t="shared" si="26"/>
        <v>INV/00426/APR</v>
      </c>
    </row>
    <row r="430" spans="1:15" x14ac:dyDescent="0.35">
      <c r="A430" s="3" t="s">
        <v>2033</v>
      </c>
      <c r="B430" s="3" t="s">
        <v>1419</v>
      </c>
      <c r="C430" s="3" t="s">
        <v>18</v>
      </c>
      <c r="D430" s="3" t="s">
        <v>1432</v>
      </c>
      <c r="E430" s="3" t="s">
        <v>1483</v>
      </c>
      <c r="F430" t="s">
        <v>1558</v>
      </c>
      <c r="G430" t="s">
        <v>1485</v>
      </c>
      <c r="H430" s="7">
        <v>46206</v>
      </c>
      <c r="I430" s="7">
        <v>46227</v>
      </c>
      <c r="J430" t="s">
        <v>2550</v>
      </c>
      <c r="K430" t="str">
        <f t="shared" si="27"/>
        <v>White Tablet (XL)</v>
      </c>
      <c r="L430" t="str">
        <f t="shared" si="24"/>
        <v>Mason</v>
      </c>
      <c r="M430" t="str">
        <f>SUBSTITUTE(Table1[[#This Row],[Raw_Address]], ", ", " - ")</f>
        <v>Minneapolis - MN</v>
      </c>
      <c r="N430" t="str">
        <f t="shared" si="25"/>
        <v>Q3-2026</v>
      </c>
      <c r="O430" t="str">
        <f t="shared" si="26"/>
        <v>INV/00427/JUL</v>
      </c>
    </row>
    <row r="431" spans="1:15" x14ac:dyDescent="0.35">
      <c r="A431" s="3" t="s">
        <v>2034</v>
      </c>
      <c r="B431" s="3" t="s">
        <v>1430</v>
      </c>
      <c r="C431" s="3" t="s">
        <v>1431</v>
      </c>
      <c r="D431" s="3" t="s">
        <v>1443</v>
      </c>
      <c r="E431" s="3" t="s">
        <v>1487</v>
      </c>
      <c r="F431" t="s">
        <v>1561</v>
      </c>
      <c r="G431" t="s">
        <v>1489</v>
      </c>
      <c r="H431" s="7">
        <v>46303</v>
      </c>
      <c r="I431" s="7">
        <v>46327</v>
      </c>
      <c r="J431" t="s">
        <v>2551</v>
      </c>
      <c r="K431" t="str">
        <f t="shared" si="27"/>
        <v>Gold Mouse (S)</v>
      </c>
      <c r="L431" t="str">
        <f t="shared" si="24"/>
        <v>Amelia</v>
      </c>
      <c r="M431" t="str">
        <f>SUBSTITUTE(Table1[[#This Row],[Raw_Address]], ", ", " - ")</f>
        <v>Atlanta - GA</v>
      </c>
      <c r="N431" t="str">
        <f t="shared" si="25"/>
        <v>Q4-2026</v>
      </c>
      <c r="O431" t="str">
        <f t="shared" si="26"/>
        <v>INV/00428/OCT</v>
      </c>
    </row>
    <row r="432" spans="1:15" x14ac:dyDescent="0.35">
      <c r="A432" s="3" t="s">
        <v>2035</v>
      </c>
      <c r="B432" s="3" t="s">
        <v>1442</v>
      </c>
      <c r="C432" s="3" t="s">
        <v>18</v>
      </c>
      <c r="D432" s="3" t="s">
        <v>1454</v>
      </c>
      <c r="E432" s="3" t="s">
        <v>1491</v>
      </c>
      <c r="F432" t="s">
        <v>1564</v>
      </c>
      <c r="G432" t="s">
        <v>1493</v>
      </c>
      <c r="H432" s="7">
        <v>46035</v>
      </c>
      <c r="I432" s="7">
        <v>46062</v>
      </c>
      <c r="J432" t="s">
        <v>2552</v>
      </c>
      <c r="K432" t="str">
        <f t="shared" si="27"/>
        <v>White Camera (L)</v>
      </c>
      <c r="L432" t="str">
        <f t="shared" si="24"/>
        <v>Charlotte</v>
      </c>
      <c r="M432" t="str">
        <f>SUBSTITUTE(Table1[[#This Row],[Raw_Address]], ", ", " - ")</f>
        <v>Tampa - FL</v>
      </c>
      <c r="N432" t="str">
        <f t="shared" si="25"/>
        <v>Q1-2026</v>
      </c>
      <c r="O432" t="str">
        <f t="shared" si="26"/>
        <v>INV/00429/JAN</v>
      </c>
    </row>
    <row r="433" spans="1:15" x14ac:dyDescent="0.35">
      <c r="A433" s="3" t="s">
        <v>2036</v>
      </c>
      <c r="B433" s="3" t="s">
        <v>1453</v>
      </c>
      <c r="C433" s="3" t="s">
        <v>1431</v>
      </c>
      <c r="D433" s="3" t="s">
        <v>1465</v>
      </c>
      <c r="E433" s="3" t="s">
        <v>1495</v>
      </c>
      <c r="F433" t="s">
        <v>1567</v>
      </c>
      <c r="G433" t="s">
        <v>1497</v>
      </c>
      <c r="H433" s="7">
        <v>46130</v>
      </c>
      <c r="I433" s="7">
        <v>46160</v>
      </c>
      <c r="J433" t="s">
        <v>2553</v>
      </c>
      <c r="K433" t="str">
        <f t="shared" si="27"/>
        <v>Gold Desk Lamp (XS)</v>
      </c>
      <c r="L433" t="str">
        <f t="shared" si="24"/>
        <v>Henry</v>
      </c>
      <c r="M433" t="str">
        <f>SUBSTITUTE(Table1[[#This Row],[Raw_Address]], ", ", " - ")</f>
        <v>Phoenix - AZ</v>
      </c>
      <c r="N433" t="str">
        <f t="shared" si="25"/>
        <v>Q2-2026</v>
      </c>
      <c r="O433" t="str">
        <f t="shared" si="26"/>
        <v>INV/00430/APR</v>
      </c>
    </row>
    <row r="434" spans="1:15" x14ac:dyDescent="0.35">
      <c r="A434" s="3" t="s">
        <v>2037</v>
      </c>
      <c r="B434" s="3" t="s">
        <v>1464</v>
      </c>
      <c r="C434" s="3" t="s">
        <v>18</v>
      </c>
      <c r="D434" s="3" t="s">
        <v>1420</v>
      </c>
      <c r="E434" s="3" t="s">
        <v>1499</v>
      </c>
      <c r="F434" t="s">
        <v>1569</v>
      </c>
      <c r="G434" t="s">
        <v>1501</v>
      </c>
      <c r="H434" s="7">
        <v>46226</v>
      </c>
      <c r="I434" s="7">
        <v>46229</v>
      </c>
      <c r="J434" t="s">
        <v>2554</v>
      </c>
      <c r="K434" t="str">
        <f t="shared" si="27"/>
        <v>White Notebook (M)</v>
      </c>
      <c r="L434" t="str">
        <f t="shared" si="24"/>
        <v>Michael</v>
      </c>
      <c r="M434" t="str">
        <f>SUBSTITUTE(Table1[[#This Row],[Raw_Address]], ", ", " - ")</f>
        <v>Raleigh - NC</v>
      </c>
      <c r="N434" t="str">
        <f t="shared" si="25"/>
        <v>Q3-2026</v>
      </c>
      <c r="O434" t="str">
        <f t="shared" si="26"/>
        <v>INV/00431/JUL</v>
      </c>
    </row>
    <row r="435" spans="1:15" x14ac:dyDescent="0.35">
      <c r="A435" s="3" t="s">
        <v>2038</v>
      </c>
      <c r="B435" s="3" t="s">
        <v>1474</v>
      </c>
      <c r="C435" s="3" t="s">
        <v>1431</v>
      </c>
      <c r="D435" s="3" t="s">
        <v>1432</v>
      </c>
      <c r="E435" s="3" t="s">
        <v>1503</v>
      </c>
      <c r="F435" t="s">
        <v>1571</v>
      </c>
      <c r="G435" t="s">
        <v>1505</v>
      </c>
      <c r="H435" s="7">
        <v>46323</v>
      </c>
      <c r="I435" s="7">
        <v>46329</v>
      </c>
      <c r="J435" t="s">
        <v>2555</v>
      </c>
      <c r="K435" t="str">
        <f t="shared" si="27"/>
        <v>Gold Power Bank (XL)</v>
      </c>
      <c r="L435" t="str">
        <f t="shared" si="24"/>
        <v>Mateo</v>
      </c>
      <c r="M435" t="str">
        <f>SUBSTITUTE(Table1[[#This Row],[Raw_Address]], ", ", " - ")</f>
        <v>Miami - FL</v>
      </c>
      <c r="N435" t="str">
        <f t="shared" si="25"/>
        <v>Q4-2026</v>
      </c>
      <c r="O435" t="str">
        <f t="shared" si="26"/>
        <v>INV/00432/OCT</v>
      </c>
    </row>
    <row r="436" spans="1:15" x14ac:dyDescent="0.35">
      <c r="A436" s="3" t="s">
        <v>2039</v>
      </c>
      <c r="B436" s="3" t="s">
        <v>1419</v>
      </c>
      <c r="C436" s="3" t="s">
        <v>18</v>
      </c>
      <c r="D436" s="3" t="s">
        <v>1443</v>
      </c>
      <c r="E436" s="3" t="s">
        <v>1507</v>
      </c>
      <c r="F436" t="s">
        <v>1573</v>
      </c>
      <c r="G436" t="s">
        <v>1509</v>
      </c>
      <c r="H436" s="7">
        <v>46027</v>
      </c>
      <c r="I436" s="7">
        <v>46036</v>
      </c>
      <c r="J436" t="s">
        <v>2550</v>
      </c>
      <c r="K436" t="str">
        <f t="shared" si="27"/>
        <v>White Tablet (S)</v>
      </c>
      <c r="L436" t="str">
        <f t="shared" si="24"/>
        <v>Sana</v>
      </c>
      <c r="M436" t="str">
        <f>SUBSTITUTE(Table1[[#This Row],[Raw_Address]], ", ", " - ")</f>
        <v>Charlotte - NC</v>
      </c>
      <c r="N436" t="str">
        <f t="shared" si="25"/>
        <v>Q1-2026</v>
      </c>
      <c r="O436" t="str">
        <f t="shared" si="26"/>
        <v>INV/00433/JAN</v>
      </c>
    </row>
    <row r="437" spans="1:15" x14ac:dyDescent="0.35">
      <c r="A437" s="3" t="s">
        <v>2040</v>
      </c>
      <c r="B437" s="3" t="s">
        <v>1430</v>
      </c>
      <c r="C437" s="3" t="s">
        <v>1431</v>
      </c>
      <c r="D437" s="3" t="s">
        <v>1454</v>
      </c>
      <c r="E437" s="3" t="s">
        <v>1511</v>
      </c>
      <c r="F437" t="s">
        <v>1575</v>
      </c>
      <c r="G437" t="s">
        <v>1513</v>
      </c>
      <c r="H437" s="7">
        <v>46122</v>
      </c>
      <c r="I437" s="7">
        <v>46134</v>
      </c>
      <c r="J437" t="s">
        <v>2551</v>
      </c>
      <c r="K437" t="str">
        <f t="shared" si="27"/>
        <v>Gold Mouse (L)</v>
      </c>
      <c r="L437" t="str">
        <f t="shared" si="24"/>
        <v>Omar</v>
      </c>
      <c r="M437" t="str">
        <f>SUBSTITUTE(Table1[[#This Row],[Raw_Address]], ", ", " - ")</f>
        <v>Austin - TX</v>
      </c>
      <c r="N437" t="str">
        <f t="shared" si="25"/>
        <v>Q2-2026</v>
      </c>
      <c r="O437" t="str">
        <f t="shared" si="26"/>
        <v>INV/00434/APR</v>
      </c>
    </row>
    <row r="438" spans="1:15" x14ac:dyDescent="0.35">
      <c r="A438" s="3" t="s">
        <v>2041</v>
      </c>
      <c r="B438" s="3" t="s">
        <v>1442</v>
      </c>
      <c r="C438" s="3" t="s">
        <v>18</v>
      </c>
      <c r="D438" s="3" t="s">
        <v>1465</v>
      </c>
      <c r="E438" s="3" t="s">
        <v>1515</v>
      </c>
      <c r="F438" t="s">
        <v>1577</v>
      </c>
      <c r="G438" t="s">
        <v>1517</v>
      </c>
      <c r="H438" s="7">
        <v>46218</v>
      </c>
      <c r="I438" s="7">
        <v>46233</v>
      </c>
      <c r="J438" t="s">
        <v>2552</v>
      </c>
      <c r="K438" t="str">
        <f t="shared" si="27"/>
        <v>White Camera (XS)</v>
      </c>
      <c r="L438" t="str">
        <f t="shared" si="24"/>
        <v>Nina</v>
      </c>
      <c r="M438" t="str">
        <f>SUBSTITUTE(Table1[[#This Row],[Raw_Address]], ", ", " - ")</f>
        <v>San Diego - CA</v>
      </c>
      <c r="N438" t="str">
        <f t="shared" si="25"/>
        <v>Q3-2026</v>
      </c>
      <c r="O438" t="str">
        <f t="shared" si="26"/>
        <v>INV/00435/JUL</v>
      </c>
    </row>
    <row r="439" spans="1:15" x14ac:dyDescent="0.35">
      <c r="A439" s="3" t="s">
        <v>2042</v>
      </c>
      <c r="B439" s="3" t="s">
        <v>1453</v>
      </c>
      <c r="C439" s="3" t="s">
        <v>1431</v>
      </c>
      <c r="D439" s="3" t="s">
        <v>1420</v>
      </c>
      <c r="E439" s="3" t="s">
        <v>1519</v>
      </c>
      <c r="F439" t="s">
        <v>1579</v>
      </c>
      <c r="G439" t="s">
        <v>1521</v>
      </c>
      <c r="H439" s="7">
        <v>46315</v>
      </c>
      <c r="I439" s="7">
        <v>46333</v>
      </c>
      <c r="J439" t="s">
        <v>2553</v>
      </c>
      <c r="K439" t="str">
        <f t="shared" si="27"/>
        <v>Gold Desk Lamp (M)</v>
      </c>
      <c r="L439" t="str">
        <f t="shared" si="24"/>
        <v>Jack</v>
      </c>
      <c r="M439" t="str">
        <f>SUBSTITUTE(Table1[[#This Row],[Raw_Address]], ", ", " - ")</f>
        <v>Kansas City - MO</v>
      </c>
      <c r="N439" t="str">
        <f t="shared" si="25"/>
        <v>Q4-2026</v>
      </c>
      <c r="O439" t="str">
        <f t="shared" si="26"/>
        <v>INV/00436/OCT</v>
      </c>
    </row>
    <row r="440" spans="1:15" x14ac:dyDescent="0.35">
      <c r="A440" s="3" t="s">
        <v>2043</v>
      </c>
      <c r="B440" s="3" t="s">
        <v>1464</v>
      </c>
      <c r="C440" s="3" t="s">
        <v>18</v>
      </c>
      <c r="D440" s="3" t="s">
        <v>1432</v>
      </c>
      <c r="E440" s="3" t="s">
        <v>1523</v>
      </c>
      <c r="F440" t="s">
        <v>1581</v>
      </c>
      <c r="G440" t="s">
        <v>1525</v>
      </c>
      <c r="H440" s="7">
        <v>46047</v>
      </c>
      <c r="I440" s="7">
        <v>46068</v>
      </c>
      <c r="J440" t="s">
        <v>2554</v>
      </c>
      <c r="K440" t="str">
        <f t="shared" si="27"/>
        <v>White Notebook (XL)</v>
      </c>
      <c r="L440" t="str">
        <f t="shared" si="24"/>
        <v>Victor</v>
      </c>
      <c r="M440" t="str">
        <f>SUBSTITUTE(Table1[[#This Row],[Raw_Address]], ", ", " - ")</f>
        <v>Portland - OR</v>
      </c>
      <c r="N440" t="str">
        <f t="shared" si="25"/>
        <v>Q1-2026</v>
      </c>
      <c r="O440" t="str">
        <f t="shared" si="26"/>
        <v>INV/00437/JAN</v>
      </c>
    </row>
    <row r="441" spans="1:15" x14ac:dyDescent="0.35">
      <c r="A441" s="3" t="s">
        <v>2044</v>
      </c>
      <c r="B441" s="3" t="s">
        <v>1474</v>
      </c>
      <c r="C441" s="3" t="s">
        <v>1431</v>
      </c>
      <c r="D441" s="3" t="s">
        <v>1443</v>
      </c>
      <c r="E441" s="3" t="s">
        <v>1527</v>
      </c>
      <c r="F441" t="s">
        <v>1583</v>
      </c>
      <c r="G441" t="s">
        <v>1529</v>
      </c>
      <c r="H441" s="7">
        <v>46114</v>
      </c>
      <c r="I441" s="7">
        <v>46138</v>
      </c>
      <c r="J441" t="s">
        <v>2555</v>
      </c>
      <c r="K441" t="str">
        <f t="shared" si="27"/>
        <v>Gold Power Bank (S)</v>
      </c>
      <c r="L441" t="str">
        <f t="shared" si="24"/>
        <v>Liam</v>
      </c>
      <c r="M441" t="str">
        <f>SUBSTITUTE(Table1[[#This Row],[Raw_Address]], ", ", " - ")</f>
        <v>Las Vegas - NV</v>
      </c>
      <c r="N441" t="str">
        <f t="shared" si="25"/>
        <v>Q2-2026</v>
      </c>
      <c r="O441" t="str">
        <f t="shared" si="26"/>
        <v>INV/00438/APR</v>
      </c>
    </row>
    <row r="442" spans="1:15" x14ac:dyDescent="0.35">
      <c r="A442" s="3" t="s">
        <v>2045</v>
      </c>
      <c r="B442" s="3" t="s">
        <v>1419</v>
      </c>
      <c r="C442" s="3" t="s">
        <v>18</v>
      </c>
      <c r="D442" s="3" t="s">
        <v>1454</v>
      </c>
      <c r="E442" s="3" t="s">
        <v>1531</v>
      </c>
      <c r="F442" t="s">
        <v>1585</v>
      </c>
      <c r="G442" t="s">
        <v>1533</v>
      </c>
      <c r="H442" s="7">
        <v>46210</v>
      </c>
      <c r="I442" s="7">
        <v>46237</v>
      </c>
      <c r="J442" t="s">
        <v>2550</v>
      </c>
      <c r="K442" t="str">
        <f t="shared" si="27"/>
        <v>White Tablet (L)</v>
      </c>
      <c r="L442" t="str">
        <f t="shared" si="24"/>
        <v>Elijah</v>
      </c>
      <c r="M442" t="str">
        <f>SUBSTITUTE(Table1[[#This Row],[Raw_Address]], ", ", " - ")</f>
        <v>Chicago - IL</v>
      </c>
      <c r="N442" t="str">
        <f t="shared" si="25"/>
        <v>Q3-2026</v>
      </c>
      <c r="O442" t="str">
        <f t="shared" si="26"/>
        <v>INV/00439/JUL</v>
      </c>
    </row>
    <row r="443" spans="1:15" x14ac:dyDescent="0.35">
      <c r="A443" s="3" t="s">
        <v>2046</v>
      </c>
      <c r="B443" s="3" t="s">
        <v>1430</v>
      </c>
      <c r="C443" s="3" t="s">
        <v>1431</v>
      </c>
      <c r="D443" s="3" t="s">
        <v>1465</v>
      </c>
      <c r="E443" s="3" t="s">
        <v>1535</v>
      </c>
      <c r="F443" t="s">
        <v>1587</v>
      </c>
      <c r="G443" t="s">
        <v>1537</v>
      </c>
      <c r="H443" s="7">
        <v>46307</v>
      </c>
      <c r="I443" s="7">
        <v>46337</v>
      </c>
      <c r="J443" t="s">
        <v>2551</v>
      </c>
      <c r="K443" t="str">
        <f t="shared" si="27"/>
        <v>Gold Mouse (XS)</v>
      </c>
      <c r="L443" t="str">
        <f t="shared" si="24"/>
        <v>Lucas</v>
      </c>
      <c r="M443" t="str">
        <f>SUBSTITUTE(Table1[[#This Row],[Raw_Address]], ", ", " - ")</f>
        <v>Detroit - MI</v>
      </c>
      <c r="N443" t="str">
        <f t="shared" si="25"/>
        <v>Q4-2026</v>
      </c>
      <c r="O443" t="str">
        <f t="shared" si="26"/>
        <v>INV/00440/OCT</v>
      </c>
    </row>
    <row r="444" spans="1:15" x14ac:dyDescent="0.35">
      <c r="A444" s="3" t="s">
        <v>2047</v>
      </c>
      <c r="B444" s="3" t="s">
        <v>1442</v>
      </c>
      <c r="C444" s="3" t="s">
        <v>18</v>
      </c>
      <c r="D444" s="3" t="s">
        <v>1420</v>
      </c>
      <c r="E444" s="3" t="s">
        <v>1539</v>
      </c>
      <c r="F444" t="s">
        <v>1589</v>
      </c>
      <c r="G444" t="s">
        <v>1423</v>
      </c>
      <c r="H444" s="7">
        <v>46039</v>
      </c>
      <c r="I444" s="7">
        <v>46042</v>
      </c>
      <c r="J444" t="s">
        <v>2552</v>
      </c>
      <c r="K444" t="str">
        <f t="shared" si="27"/>
        <v>White Camera (M)</v>
      </c>
      <c r="L444" t="str">
        <f t="shared" si="24"/>
        <v>Ethan</v>
      </c>
      <c r="M444" t="str">
        <f>SUBSTITUTE(Table1[[#This Row],[Raw_Address]], ", ", " - ")</f>
        <v>Boston - MA</v>
      </c>
      <c r="N444" t="str">
        <f t="shared" si="25"/>
        <v>Q1-2026</v>
      </c>
      <c r="O444" t="str">
        <f t="shared" si="26"/>
        <v>INV/00441/JAN</v>
      </c>
    </row>
    <row r="445" spans="1:15" x14ac:dyDescent="0.35">
      <c r="A445" s="3" t="s">
        <v>2048</v>
      </c>
      <c r="B445" s="3" t="s">
        <v>1453</v>
      </c>
      <c r="C445" s="3" t="s">
        <v>1431</v>
      </c>
      <c r="D445" s="3" t="s">
        <v>1432</v>
      </c>
      <c r="E445" s="3" t="s">
        <v>1542</v>
      </c>
      <c r="F445" t="s">
        <v>1591</v>
      </c>
      <c r="G445" t="s">
        <v>1435</v>
      </c>
      <c r="H445" s="7">
        <v>46134</v>
      </c>
      <c r="I445" s="7">
        <v>46140</v>
      </c>
      <c r="J445" t="s">
        <v>2553</v>
      </c>
      <c r="K445" t="str">
        <f t="shared" si="27"/>
        <v>Gold Desk Lamp (XL)</v>
      </c>
      <c r="L445" t="str">
        <f t="shared" si="24"/>
        <v>Evelyn</v>
      </c>
      <c r="M445" t="str">
        <f>SUBSTITUTE(Table1[[#This Row],[Raw_Address]], ", ", " - ")</f>
        <v>Columbus - OH</v>
      </c>
      <c r="N445" t="str">
        <f t="shared" si="25"/>
        <v>Q2-2026</v>
      </c>
      <c r="O445" t="str">
        <f t="shared" si="26"/>
        <v>INV/00442/APR</v>
      </c>
    </row>
    <row r="446" spans="1:15" x14ac:dyDescent="0.35">
      <c r="A446" s="3" t="s">
        <v>2049</v>
      </c>
      <c r="B446" s="3" t="s">
        <v>1464</v>
      </c>
      <c r="C446" s="3" t="s">
        <v>18</v>
      </c>
      <c r="D446" s="3" t="s">
        <v>1443</v>
      </c>
      <c r="E446" s="3" t="s">
        <v>1545</v>
      </c>
      <c r="F446" t="s">
        <v>1593</v>
      </c>
      <c r="G446" t="s">
        <v>1446</v>
      </c>
      <c r="H446" s="7">
        <v>46230</v>
      </c>
      <c r="I446" s="7">
        <v>46239</v>
      </c>
      <c r="J446" t="s">
        <v>2554</v>
      </c>
      <c r="K446" t="str">
        <f t="shared" si="27"/>
        <v>White Notebook (S)</v>
      </c>
      <c r="L446" t="str">
        <f t="shared" si="24"/>
        <v>Scarlett</v>
      </c>
      <c r="M446" t="str">
        <f>SUBSTITUTE(Table1[[#This Row],[Raw_Address]], ", ", " - ")</f>
        <v>Denver - CO</v>
      </c>
      <c r="N446" t="str">
        <f t="shared" si="25"/>
        <v>Q3-2026</v>
      </c>
      <c r="O446" t="str">
        <f t="shared" si="26"/>
        <v>INV/00443/JUL</v>
      </c>
    </row>
    <row r="447" spans="1:15" x14ac:dyDescent="0.35">
      <c r="A447" s="3" t="s">
        <v>2050</v>
      </c>
      <c r="B447" s="3" t="s">
        <v>1474</v>
      </c>
      <c r="C447" s="3" t="s">
        <v>1431</v>
      </c>
      <c r="D447" s="3" t="s">
        <v>1454</v>
      </c>
      <c r="E447" s="3" t="s">
        <v>1548</v>
      </c>
      <c r="F447" t="s">
        <v>1595</v>
      </c>
      <c r="G447" t="s">
        <v>1457</v>
      </c>
      <c r="H447" s="7">
        <v>46299</v>
      </c>
      <c r="I447" s="7">
        <v>46311</v>
      </c>
      <c r="J447" t="s">
        <v>2555</v>
      </c>
      <c r="K447" t="str">
        <f t="shared" si="27"/>
        <v>Gold Power Bank (L)</v>
      </c>
      <c r="L447" t="str">
        <f t="shared" si="24"/>
        <v>Sofia</v>
      </c>
      <c r="M447" t="str">
        <f>SUBSTITUTE(Table1[[#This Row],[Raw_Address]], ", ", " - ")</f>
        <v>Dallas - TX</v>
      </c>
      <c r="N447" t="str">
        <f t="shared" si="25"/>
        <v>Q4-2026</v>
      </c>
      <c r="O447" t="str">
        <f t="shared" si="26"/>
        <v>INV/00444/OCT</v>
      </c>
    </row>
    <row r="448" spans="1:15" x14ac:dyDescent="0.35">
      <c r="A448" s="3" t="s">
        <v>2051</v>
      </c>
      <c r="B448" s="3" t="s">
        <v>1419</v>
      </c>
      <c r="C448" s="3" t="s">
        <v>18</v>
      </c>
      <c r="D448" s="3" t="s">
        <v>1465</v>
      </c>
      <c r="E448" s="3" t="s">
        <v>1551</v>
      </c>
      <c r="F448" t="s">
        <v>1597</v>
      </c>
      <c r="G448" t="s">
        <v>1468</v>
      </c>
      <c r="H448" s="7">
        <v>46031</v>
      </c>
      <c r="I448" s="7">
        <v>46046</v>
      </c>
      <c r="J448" t="s">
        <v>2550</v>
      </c>
      <c r="K448" t="str">
        <f t="shared" si="27"/>
        <v>White Tablet (XS)</v>
      </c>
      <c r="L448" t="str">
        <f t="shared" si="24"/>
        <v>Priya</v>
      </c>
      <c r="M448" t="str">
        <f>SUBSTITUTE(Table1[[#This Row],[Raw_Address]], ", ", " - ")</f>
        <v>Seattle - WA</v>
      </c>
      <c r="N448" t="str">
        <f t="shared" si="25"/>
        <v>Q1-2026</v>
      </c>
      <c r="O448" t="str">
        <f t="shared" si="26"/>
        <v>INV/00445/JAN</v>
      </c>
    </row>
    <row r="449" spans="1:15" x14ac:dyDescent="0.35">
      <c r="A449" s="3" t="s">
        <v>2052</v>
      </c>
      <c r="B449" s="3" t="s">
        <v>1430</v>
      </c>
      <c r="C449" s="3" t="s">
        <v>1431</v>
      </c>
      <c r="D449" s="3" t="s">
        <v>1420</v>
      </c>
      <c r="E449" s="3" t="s">
        <v>1554</v>
      </c>
      <c r="F449" t="s">
        <v>1599</v>
      </c>
      <c r="G449" t="s">
        <v>1477</v>
      </c>
      <c r="H449" s="7">
        <v>46126</v>
      </c>
      <c r="I449" s="7">
        <v>46144</v>
      </c>
      <c r="J449" t="s">
        <v>2551</v>
      </c>
      <c r="K449" t="str">
        <f t="shared" si="27"/>
        <v>Gold Mouse (M)</v>
      </c>
      <c r="L449" t="str">
        <f t="shared" si="24"/>
        <v>Kabir</v>
      </c>
      <c r="M449" t="str">
        <f>SUBSTITUTE(Table1[[#This Row],[Raw_Address]], ", ", " - ")</f>
        <v>Nashville - TN</v>
      </c>
      <c r="N449" t="str">
        <f t="shared" si="25"/>
        <v>Q2-2026</v>
      </c>
      <c r="O449" t="str">
        <f t="shared" si="26"/>
        <v>INV/00446/APR</v>
      </c>
    </row>
    <row r="450" spans="1:15" x14ac:dyDescent="0.35">
      <c r="A450" s="3" t="s">
        <v>2053</v>
      </c>
      <c r="B450" s="3" t="s">
        <v>1442</v>
      </c>
      <c r="C450" s="3" t="s">
        <v>18</v>
      </c>
      <c r="D450" s="3" t="s">
        <v>1432</v>
      </c>
      <c r="E450" s="3" t="s">
        <v>1557</v>
      </c>
      <c r="F450" t="s">
        <v>1601</v>
      </c>
      <c r="G450" t="s">
        <v>1485</v>
      </c>
      <c r="H450" s="7">
        <v>46222</v>
      </c>
      <c r="I450" s="7">
        <v>46243</v>
      </c>
      <c r="J450" t="s">
        <v>2552</v>
      </c>
      <c r="K450" t="str">
        <f t="shared" si="27"/>
        <v>White Camera (XL)</v>
      </c>
      <c r="L450" t="str">
        <f t="shared" si="24"/>
        <v>Fatima</v>
      </c>
      <c r="M450" t="str">
        <f>SUBSTITUTE(Table1[[#This Row],[Raw_Address]], ", ", " - ")</f>
        <v>Minneapolis - MN</v>
      </c>
      <c r="N450" t="str">
        <f t="shared" si="25"/>
        <v>Q3-2026</v>
      </c>
      <c r="O450" t="str">
        <f t="shared" si="26"/>
        <v>INV/00447/JUL</v>
      </c>
    </row>
    <row r="451" spans="1:15" x14ac:dyDescent="0.35">
      <c r="A451" s="3" t="s">
        <v>2054</v>
      </c>
      <c r="B451" s="3" t="s">
        <v>1453</v>
      </c>
      <c r="C451" s="3" t="s">
        <v>1431</v>
      </c>
      <c r="D451" s="3" t="s">
        <v>1443</v>
      </c>
      <c r="E451" s="3" t="s">
        <v>1560</v>
      </c>
      <c r="F451" t="s">
        <v>1603</v>
      </c>
      <c r="G451" t="s">
        <v>1489</v>
      </c>
      <c r="H451" s="7">
        <v>46319</v>
      </c>
      <c r="I451" s="7">
        <v>46343</v>
      </c>
      <c r="J451" t="s">
        <v>2553</v>
      </c>
      <c r="K451" t="str">
        <f t="shared" si="27"/>
        <v>Gold Desk Lamp (S)</v>
      </c>
      <c r="L451" t="str">
        <f t="shared" si="24"/>
        <v>Grace</v>
      </c>
      <c r="M451" t="str">
        <f>SUBSTITUTE(Table1[[#This Row],[Raw_Address]], ", ", " - ")</f>
        <v>Atlanta - GA</v>
      </c>
      <c r="N451" t="str">
        <f t="shared" si="25"/>
        <v>Q4-2026</v>
      </c>
      <c r="O451" t="str">
        <f t="shared" si="26"/>
        <v>INV/00448/OCT</v>
      </c>
    </row>
    <row r="452" spans="1:15" x14ac:dyDescent="0.35">
      <c r="A452" s="3" t="s">
        <v>2055</v>
      </c>
      <c r="B452" s="3" t="s">
        <v>1464</v>
      </c>
      <c r="C452" s="3" t="s">
        <v>18</v>
      </c>
      <c r="D452" s="3" t="s">
        <v>1454</v>
      </c>
      <c r="E452" s="3" t="s">
        <v>1563</v>
      </c>
      <c r="F452" t="s">
        <v>1605</v>
      </c>
      <c r="G452" t="s">
        <v>1493</v>
      </c>
      <c r="H452" s="7">
        <v>46023</v>
      </c>
      <c r="I452" s="7">
        <v>46050</v>
      </c>
      <c r="J452" t="s">
        <v>2554</v>
      </c>
      <c r="K452" t="str">
        <f t="shared" si="27"/>
        <v>White Notebook (L)</v>
      </c>
      <c r="L452" t="str">
        <f t="shared" si="24"/>
        <v>David</v>
      </c>
      <c r="M452" t="str">
        <f>SUBSTITUTE(Table1[[#This Row],[Raw_Address]], ", ", " - ")</f>
        <v>Tampa - FL</v>
      </c>
      <c r="N452" t="str">
        <f t="shared" si="25"/>
        <v>Q1-2026</v>
      </c>
      <c r="O452" t="str">
        <f t="shared" si="26"/>
        <v>INV/00449/JAN</v>
      </c>
    </row>
    <row r="453" spans="1:15" x14ac:dyDescent="0.35">
      <c r="A453" s="3" t="s">
        <v>2056</v>
      </c>
      <c r="B453" s="3" t="s">
        <v>1474</v>
      </c>
      <c r="C453" s="3" t="s">
        <v>1431</v>
      </c>
      <c r="D453" s="3" t="s">
        <v>1465</v>
      </c>
      <c r="E453" s="3" t="s">
        <v>1566</v>
      </c>
      <c r="F453" t="s">
        <v>1607</v>
      </c>
      <c r="G453" t="s">
        <v>1497</v>
      </c>
      <c r="H453" s="7">
        <v>46118</v>
      </c>
      <c r="I453" s="7">
        <v>46148</v>
      </c>
      <c r="J453" t="s">
        <v>2555</v>
      </c>
      <c r="K453" t="str">
        <f t="shared" si="27"/>
        <v>Gold Power Bank (XS)</v>
      </c>
      <c r="L453" t="str">
        <f t="shared" si="24"/>
        <v>Anaya</v>
      </c>
      <c r="M453" t="str">
        <f>SUBSTITUTE(Table1[[#This Row],[Raw_Address]], ", ", " - ")</f>
        <v>Phoenix - AZ</v>
      </c>
      <c r="N453" t="str">
        <f t="shared" si="25"/>
        <v>Q2-2026</v>
      </c>
      <c r="O453" t="str">
        <f t="shared" si="26"/>
        <v>INV/00450/APR</v>
      </c>
    </row>
    <row r="454" spans="1:15" x14ac:dyDescent="0.35">
      <c r="A454" s="3" t="s">
        <v>2057</v>
      </c>
      <c r="B454" s="3" t="s">
        <v>1419</v>
      </c>
      <c r="C454" s="3" t="s">
        <v>18</v>
      </c>
      <c r="D454" s="3" t="s">
        <v>1420</v>
      </c>
      <c r="E454" s="3" t="s">
        <v>1421</v>
      </c>
      <c r="F454" t="s">
        <v>1609</v>
      </c>
      <c r="G454" t="s">
        <v>1501</v>
      </c>
      <c r="H454" s="7">
        <v>46214</v>
      </c>
      <c r="I454" s="7">
        <v>46217</v>
      </c>
      <c r="J454" t="s">
        <v>2550</v>
      </c>
      <c r="K454" t="str">
        <f t="shared" si="27"/>
        <v>White Tablet (M)</v>
      </c>
      <c r="L454" t="str">
        <f t="shared" si="24"/>
        <v>Emma</v>
      </c>
      <c r="M454" t="str">
        <f>SUBSTITUTE(Table1[[#This Row],[Raw_Address]], ", ", " - ")</f>
        <v>Raleigh - NC</v>
      </c>
      <c r="N454" t="str">
        <f t="shared" si="25"/>
        <v>Q3-2026</v>
      </c>
      <c r="O454" t="str">
        <f t="shared" si="26"/>
        <v>INV/00451/JUL</v>
      </c>
    </row>
    <row r="455" spans="1:15" x14ac:dyDescent="0.35">
      <c r="A455" s="3" t="s">
        <v>2058</v>
      </c>
      <c r="B455" s="3" t="s">
        <v>1430</v>
      </c>
      <c r="C455" s="3" t="s">
        <v>1431</v>
      </c>
      <c r="D455" s="3" t="s">
        <v>1432</v>
      </c>
      <c r="E455" s="3" t="s">
        <v>1433</v>
      </c>
      <c r="F455" t="s">
        <v>1611</v>
      </c>
      <c r="G455" t="s">
        <v>1505</v>
      </c>
      <c r="H455" s="7">
        <v>46311</v>
      </c>
      <c r="I455" s="7">
        <v>46317</v>
      </c>
      <c r="J455" t="s">
        <v>2551</v>
      </c>
      <c r="K455" t="str">
        <f t="shared" si="27"/>
        <v>Gold Mouse (XL)</v>
      </c>
      <c r="L455" t="str">
        <f t="shared" si="24"/>
        <v>Mason</v>
      </c>
      <c r="M455" t="str">
        <f>SUBSTITUTE(Table1[[#This Row],[Raw_Address]], ", ", " - ")</f>
        <v>Miami - FL</v>
      </c>
      <c r="N455" t="str">
        <f t="shared" si="25"/>
        <v>Q4-2026</v>
      </c>
      <c r="O455" t="str">
        <f t="shared" si="26"/>
        <v>INV/00452/OCT</v>
      </c>
    </row>
    <row r="456" spans="1:15" x14ac:dyDescent="0.35">
      <c r="A456" s="3" t="s">
        <v>2059</v>
      </c>
      <c r="B456" s="3" t="s">
        <v>1442</v>
      </c>
      <c r="C456" s="3" t="s">
        <v>18</v>
      </c>
      <c r="D456" s="3" t="s">
        <v>1443</v>
      </c>
      <c r="E456" s="3" t="s">
        <v>1444</v>
      </c>
      <c r="F456" t="s">
        <v>1613</v>
      </c>
      <c r="G456" t="s">
        <v>1509</v>
      </c>
      <c r="H456" s="7">
        <v>46043</v>
      </c>
      <c r="I456" s="7">
        <v>46052</v>
      </c>
      <c r="J456" t="s">
        <v>2552</v>
      </c>
      <c r="K456" t="str">
        <f t="shared" si="27"/>
        <v>White Camera (S)</v>
      </c>
      <c r="L456" t="str">
        <f t="shared" si="24"/>
        <v>Amelia</v>
      </c>
      <c r="M456" t="str">
        <f>SUBSTITUTE(Table1[[#This Row],[Raw_Address]], ", ", " - ")</f>
        <v>Charlotte - NC</v>
      </c>
      <c r="N456" t="str">
        <f t="shared" si="25"/>
        <v>Q1-2026</v>
      </c>
      <c r="O456" t="str">
        <f t="shared" si="26"/>
        <v>INV/00453/JAN</v>
      </c>
    </row>
    <row r="457" spans="1:15" x14ac:dyDescent="0.35">
      <c r="A457" s="3" t="s">
        <v>2060</v>
      </c>
      <c r="B457" s="3" t="s">
        <v>1453</v>
      </c>
      <c r="C457" s="3" t="s">
        <v>1431</v>
      </c>
      <c r="D457" s="3" t="s">
        <v>1454</v>
      </c>
      <c r="E457" s="3" t="s">
        <v>1455</v>
      </c>
      <c r="F457" t="s">
        <v>1615</v>
      </c>
      <c r="G457" t="s">
        <v>1513</v>
      </c>
      <c r="H457" s="7">
        <v>46138</v>
      </c>
      <c r="I457" s="7">
        <v>46150</v>
      </c>
      <c r="J457" t="s">
        <v>2553</v>
      </c>
      <c r="K457" t="str">
        <f t="shared" si="27"/>
        <v>Gold Desk Lamp (L)</v>
      </c>
      <c r="L457" t="str">
        <f t="shared" si="24"/>
        <v>Charlotte</v>
      </c>
      <c r="M457" t="str">
        <f>SUBSTITUTE(Table1[[#This Row],[Raw_Address]], ", ", " - ")</f>
        <v>Austin - TX</v>
      </c>
      <c r="N457" t="str">
        <f t="shared" si="25"/>
        <v>Q2-2026</v>
      </c>
      <c r="O457" t="str">
        <f t="shared" si="26"/>
        <v>INV/00454/APR</v>
      </c>
    </row>
    <row r="458" spans="1:15" x14ac:dyDescent="0.35">
      <c r="A458" s="3" t="s">
        <v>2061</v>
      </c>
      <c r="B458" s="3" t="s">
        <v>1464</v>
      </c>
      <c r="C458" s="3" t="s">
        <v>18</v>
      </c>
      <c r="D458" s="3" t="s">
        <v>1465</v>
      </c>
      <c r="E458" s="3" t="s">
        <v>1466</v>
      </c>
      <c r="F458" t="s">
        <v>1617</v>
      </c>
      <c r="G458" t="s">
        <v>1517</v>
      </c>
      <c r="H458" s="7">
        <v>46206</v>
      </c>
      <c r="I458" s="7">
        <v>46221</v>
      </c>
      <c r="J458" t="s">
        <v>2554</v>
      </c>
      <c r="K458" t="str">
        <f t="shared" si="27"/>
        <v>White Notebook (XS)</v>
      </c>
      <c r="L458" t="str">
        <f t="shared" si="24"/>
        <v>Henry</v>
      </c>
      <c r="M458" t="str">
        <f>SUBSTITUTE(Table1[[#This Row],[Raw_Address]], ", ", " - ")</f>
        <v>San Diego - CA</v>
      </c>
      <c r="N458" t="str">
        <f t="shared" si="25"/>
        <v>Q3-2026</v>
      </c>
      <c r="O458" t="str">
        <f t="shared" si="26"/>
        <v>INV/00455/JUL</v>
      </c>
    </row>
    <row r="459" spans="1:15" x14ac:dyDescent="0.35">
      <c r="A459" s="3" t="s">
        <v>2062</v>
      </c>
      <c r="B459" s="3" t="s">
        <v>1474</v>
      </c>
      <c r="C459" s="3" t="s">
        <v>1431</v>
      </c>
      <c r="D459" s="3" t="s">
        <v>1420</v>
      </c>
      <c r="E459" s="3" t="s">
        <v>1475</v>
      </c>
      <c r="F459" t="s">
        <v>1619</v>
      </c>
      <c r="G459" t="s">
        <v>1521</v>
      </c>
      <c r="H459" s="7">
        <v>46303</v>
      </c>
      <c r="I459" s="7">
        <v>46321</v>
      </c>
      <c r="J459" t="s">
        <v>2555</v>
      </c>
      <c r="K459" t="str">
        <f t="shared" si="27"/>
        <v>Gold Power Bank (M)</v>
      </c>
      <c r="L459" t="str">
        <f t="shared" ref="L459:L522" si="28">REPLACE(F459, 1, FIND(", ", F459) + 1, "")</f>
        <v>Michael</v>
      </c>
      <c r="M459" t="str">
        <f>SUBSTITUTE(Table1[[#This Row],[Raw_Address]], ", ", " - ")</f>
        <v>Kansas City - MO</v>
      </c>
      <c r="N459" t="str">
        <f t="shared" ref="N459:N522" si="29">"Q" &amp; ROUNDUP(MONTH(H459)/3, 0) &amp; "-" &amp; YEAR(H459)</f>
        <v>Q4-2026</v>
      </c>
      <c r="O459" t="str">
        <f t="shared" ref="O459:O522" si="30">"INV/" &amp; RIGHT(A459, 5) &amp; "/" &amp; UPPER(TEXT(H459, "mmm"))</f>
        <v>INV/00456/OCT</v>
      </c>
    </row>
    <row r="460" spans="1:15" x14ac:dyDescent="0.35">
      <c r="A460" s="3" t="s">
        <v>2063</v>
      </c>
      <c r="B460" s="3" t="s">
        <v>1419</v>
      </c>
      <c r="C460" s="3" t="s">
        <v>18</v>
      </c>
      <c r="D460" s="3" t="s">
        <v>1432</v>
      </c>
      <c r="E460" s="3" t="s">
        <v>1483</v>
      </c>
      <c r="F460" t="s">
        <v>1621</v>
      </c>
      <c r="G460" t="s">
        <v>1525</v>
      </c>
      <c r="H460" s="7">
        <v>46035</v>
      </c>
      <c r="I460" s="7">
        <v>46056</v>
      </c>
      <c r="J460" t="s">
        <v>2550</v>
      </c>
      <c r="K460" t="str">
        <f t="shared" ref="K460:K523" si="31">C460 &amp; " " &amp; B460 &amp; " (" &amp; D460 &amp; ")"</f>
        <v>White Tablet (XL)</v>
      </c>
      <c r="L460" t="str">
        <f t="shared" si="28"/>
        <v>Mateo</v>
      </c>
      <c r="M460" t="str">
        <f>SUBSTITUTE(Table1[[#This Row],[Raw_Address]], ", ", " - ")</f>
        <v>Portland - OR</v>
      </c>
      <c r="N460" t="str">
        <f t="shared" si="29"/>
        <v>Q1-2026</v>
      </c>
      <c r="O460" t="str">
        <f t="shared" si="30"/>
        <v>INV/00457/JAN</v>
      </c>
    </row>
    <row r="461" spans="1:15" x14ac:dyDescent="0.35">
      <c r="A461" s="3" t="s">
        <v>2064</v>
      </c>
      <c r="B461" s="3" t="s">
        <v>1430</v>
      </c>
      <c r="C461" s="3" t="s">
        <v>1431</v>
      </c>
      <c r="D461" s="3" t="s">
        <v>1443</v>
      </c>
      <c r="E461" s="3" t="s">
        <v>1487</v>
      </c>
      <c r="F461" t="s">
        <v>1623</v>
      </c>
      <c r="G461" t="s">
        <v>1529</v>
      </c>
      <c r="H461" s="7">
        <v>46130</v>
      </c>
      <c r="I461" s="7">
        <v>46154</v>
      </c>
      <c r="J461" t="s">
        <v>2551</v>
      </c>
      <c r="K461" t="str">
        <f t="shared" si="31"/>
        <v>Gold Mouse (S)</v>
      </c>
      <c r="L461" t="str">
        <f t="shared" si="28"/>
        <v>Sana</v>
      </c>
      <c r="M461" t="str">
        <f>SUBSTITUTE(Table1[[#This Row],[Raw_Address]], ", ", " - ")</f>
        <v>Las Vegas - NV</v>
      </c>
      <c r="N461" t="str">
        <f t="shared" si="29"/>
        <v>Q2-2026</v>
      </c>
      <c r="O461" t="str">
        <f t="shared" si="30"/>
        <v>INV/00458/APR</v>
      </c>
    </row>
    <row r="462" spans="1:15" x14ac:dyDescent="0.35">
      <c r="A462" s="3" t="s">
        <v>2065</v>
      </c>
      <c r="B462" s="3" t="s">
        <v>1442</v>
      </c>
      <c r="C462" s="3" t="s">
        <v>18</v>
      </c>
      <c r="D462" s="3" t="s">
        <v>1454</v>
      </c>
      <c r="E462" s="3" t="s">
        <v>1491</v>
      </c>
      <c r="F462" t="s">
        <v>1625</v>
      </c>
      <c r="G462" t="s">
        <v>1533</v>
      </c>
      <c r="H462" s="7">
        <v>46226</v>
      </c>
      <c r="I462" s="7">
        <v>46253</v>
      </c>
      <c r="J462" t="s">
        <v>2552</v>
      </c>
      <c r="K462" t="str">
        <f t="shared" si="31"/>
        <v>White Camera (L)</v>
      </c>
      <c r="L462" t="str">
        <f t="shared" si="28"/>
        <v>Omar</v>
      </c>
      <c r="M462" t="str">
        <f>SUBSTITUTE(Table1[[#This Row],[Raw_Address]], ", ", " - ")</f>
        <v>Chicago - IL</v>
      </c>
      <c r="N462" t="str">
        <f t="shared" si="29"/>
        <v>Q3-2026</v>
      </c>
      <c r="O462" t="str">
        <f t="shared" si="30"/>
        <v>INV/00459/JUL</v>
      </c>
    </row>
    <row r="463" spans="1:15" x14ac:dyDescent="0.35">
      <c r="A463" s="3" t="s">
        <v>2066</v>
      </c>
      <c r="B463" s="3" t="s">
        <v>1453</v>
      </c>
      <c r="C463" s="3" t="s">
        <v>1431</v>
      </c>
      <c r="D463" s="3" t="s">
        <v>1465</v>
      </c>
      <c r="E463" s="3" t="s">
        <v>1495</v>
      </c>
      <c r="F463" t="s">
        <v>1627</v>
      </c>
      <c r="G463" t="s">
        <v>1537</v>
      </c>
      <c r="H463" s="7">
        <v>46323</v>
      </c>
      <c r="I463" s="7">
        <v>46353</v>
      </c>
      <c r="J463" t="s">
        <v>2553</v>
      </c>
      <c r="K463" t="str">
        <f t="shared" si="31"/>
        <v>Gold Desk Lamp (XS)</v>
      </c>
      <c r="L463" t="str">
        <f t="shared" si="28"/>
        <v>Nina</v>
      </c>
      <c r="M463" t="str">
        <f>SUBSTITUTE(Table1[[#This Row],[Raw_Address]], ", ", " - ")</f>
        <v>Detroit - MI</v>
      </c>
      <c r="N463" t="str">
        <f t="shared" si="29"/>
        <v>Q4-2026</v>
      </c>
      <c r="O463" t="str">
        <f t="shared" si="30"/>
        <v>INV/00460/OCT</v>
      </c>
    </row>
    <row r="464" spans="1:15" x14ac:dyDescent="0.35">
      <c r="A464" s="3" t="s">
        <v>2067</v>
      </c>
      <c r="B464" s="3" t="s">
        <v>1464</v>
      </c>
      <c r="C464" s="3" t="s">
        <v>18</v>
      </c>
      <c r="D464" s="3" t="s">
        <v>1420</v>
      </c>
      <c r="E464" s="3" t="s">
        <v>1499</v>
      </c>
      <c r="F464" t="s">
        <v>1629</v>
      </c>
      <c r="G464" t="s">
        <v>1423</v>
      </c>
      <c r="H464" s="7">
        <v>46027</v>
      </c>
      <c r="I464" s="7">
        <v>46030</v>
      </c>
      <c r="J464" t="s">
        <v>2554</v>
      </c>
      <c r="K464" t="str">
        <f t="shared" si="31"/>
        <v>White Notebook (M)</v>
      </c>
      <c r="L464" t="str">
        <f t="shared" si="28"/>
        <v>Jack</v>
      </c>
      <c r="M464" t="str">
        <f>SUBSTITUTE(Table1[[#This Row],[Raw_Address]], ", ", " - ")</f>
        <v>Boston - MA</v>
      </c>
      <c r="N464" t="str">
        <f t="shared" si="29"/>
        <v>Q1-2026</v>
      </c>
      <c r="O464" t="str">
        <f t="shared" si="30"/>
        <v>INV/00461/JAN</v>
      </c>
    </row>
    <row r="465" spans="1:15" x14ac:dyDescent="0.35">
      <c r="A465" s="3" t="s">
        <v>2068</v>
      </c>
      <c r="B465" s="3" t="s">
        <v>1474</v>
      </c>
      <c r="C465" s="3" t="s">
        <v>1431</v>
      </c>
      <c r="D465" s="3" t="s">
        <v>1432</v>
      </c>
      <c r="E465" s="3" t="s">
        <v>1503</v>
      </c>
      <c r="F465" t="s">
        <v>1631</v>
      </c>
      <c r="G465" t="s">
        <v>1435</v>
      </c>
      <c r="H465" s="7">
        <v>46122</v>
      </c>
      <c r="I465" s="7">
        <v>46128</v>
      </c>
      <c r="J465" t="s">
        <v>2555</v>
      </c>
      <c r="K465" t="str">
        <f t="shared" si="31"/>
        <v>Gold Power Bank (XL)</v>
      </c>
      <c r="L465" t="str">
        <f t="shared" si="28"/>
        <v>Victor</v>
      </c>
      <c r="M465" t="str">
        <f>SUBSTITUTE(Table1[[#This Row],[Raw_Address]], ", ", " - ")</f>
        <v>Columbus - OH</v>
      </c>
      <c r="N465" t="str">
        <f t="shared" si="29"/>
        <v>Q2-2026</v>
      </c>
      <c r="O465" t="str">
        <f t="shared" si="30"/>
        <v>INV/00462/APR</v>
      </c>
    </row>
    <row r="466" spans="1:15" x14ac:dyDescent="0.35">
      <c r="A466" s="3" t="s">
        <v>2069</v>
      </c>
      <c r="B466" s="3" t="s">
        <v>1419</v>
      </c>
      <c r="C466" s="3" t="s">
        <v>18</v>
      </c>
      <c r="D466" s="3" t="s">
        <v>1443</v>
      </c>
      <c r="E466" s="3" t="s">
        <v>1507</v>
      </c>
      <c r="F466" t="s">
        <v>1633</v>
      </c>
      <c r="G466" t="s">
        <v>1446</v>
      </c>
      <c r="H466" s="7">
        <v>46218</v>
      </c>
      <c r="I466" s="7">
        <v>46227</v>
      </c>
      <c r="J466" t="s">
        <v>2550</v>
      </c>
      <c r="K466" t="str">
        <f t="shared" si="31"/>
        <v>White Tablet (S)</v>
      </c>
      <c r="L466" t="str">
        <f t="shared" si="28"/>
        <v>Liam</v>
      </c>
      <c r="M466" t="str">
        <f>SUBSTITUTE(Table1[[#This Row],[Raw_Address]], ", ", " - ")</f>
        <v>Denver - CO</v>
      </c>
      <c r="N466" t="str">
        <f t="shared" si="29"/>
        <v>Q3-2026</v>
      </c>
      <c r="O466" t="str">
        <f t="shared" si="30"/>
        <v>INV/00463/JUL</v>
      </c>
    </row>
    <row r="467" spans="1:15" x14ac:dyDescent="0.35">
      <c r="A467" s="3" t="s">
        <v>2070</v>
      </c>
      <c r="B467" s="3" t="s">
        <v>1430</v>
      </c>
      <c r="C467" s="3" t="s">
        <v>1431</v>
      </c>
      <c r="D467" s="3" t="s">
        <v>1454</v>
      </c>
      <c r="E467" s="3" t="s">
        <v>1511</v>
      </c>
      <c r="F467" t="s">
        <v>1635</v>
      </c>
      <c r="G467" t="s">
        <v>1457</v>
      </c>
      <c r="H467" s="7">
        <v>46315</v>
      </c>
      <c r="I467" s="7">
        <v>46327</v>
      </c>
      <c r="J467" t="s">
        <v>2551</v>
      </c>
      <c r="K467" t="str">
        <f t="shared" si="31"/>
        <v>Gold Mouse (L)</v>
      </c>
      <c r="L467" t="str">
        <f t="shared" si="28"/>
        <v>Elijah</v>
      </c>
      <c r="M467" t="str">
        <f>SUBSTITUTE(Table1[[#This Row],[Raw_Address]], ", ", " - ")</f>
        <v>Dallas - TX</v>
      </c>
      <c r="N467" t="str">
        <f t="shared" si="29"/>
        <v>Q4-2026</v>
      </c>
      <c r="O467" t="str">
        <f t="shared" si="30"/>
        <v>INV/00464/OCT</v>
      </c>
    </row>
    <row r="468" spans="1:15" x14ac:dyDescent="0.35">
      <c r="A468" s="3" t="s">
        <v>2071</v>
      </c>
      <c r="B468" s="3" t="s">
        <v>1442</v>
      </c>
      <c r="C468" s="3" t="s">
        <v>18</v>
      </c>
      <c r="D468" s="3" t="s">
        <v>1465</v>
      </c>
      <c r="E468" s="3" t="s">
        <v>1515</v>
      </c>
      <c r="F468" t="s">
        <v>1637</v>
      </c>
      <c r="G468" t="s">
        <v>1468</v>
      </c>
      <c r="H468" s="7">
        <v>46047</v>
      </c>
      <c r="I468" s="7">
        <v>46062</v>
      </c>
      <c r="J468" t="s">
        <v>2552</v>
      </c>
      <c r="K468" t="str">
        <f t="shared" si="31"/>
        <v>White Camera (XS)</v>
      </c>
      <c r="L468" t="str">
        <f t="shared" si="28"/>
        <v>Lucas</v>
      </c>
      <c r="M468" t="str">
        <f>SUBSTITUTE(Table1[[#This Row],[Raw_Address]], ", ", " - ")</f>
        <v>Seattle - WA</v>
      </c>
      <c r="N468" t="str">
        <f t="shared" si="29"/>
        <v>Q1-2026</v>
      </c>
      <c r="O468" t="str">
        <f t="shared" si="30"/>
        <v>INV/00465/JAN</v>
      </c>
    </row>
    <row r="469" spans="1:15" x14ac:dyDescent="0.35">
      <c r="A469" s="3" t="s">
        <v>2072</v>
      </c>
      <c r="B469" s="3" t="s">
        <v>1453</v>
      </c>
      <c r="C469" s="3" t="s">
        <v>1431</v>
      </c>
      <c r="D469" s="3" t="s">
        <v>1420</v>
      </c>
      <c r="E469" s="3" t="s">
        <v>1519</v>
      </c>
      <c r="F469" t="s">
        <v>1639</v>
      </c>
      <c r="G469" t="s">
        <v>1477</v>
      </c>
      <c r="H469" s="7">
        <v>46114</v>
      </c>
      <c r="I469" s="7">
        <v>46132</v>
      </c>
      <c r="J469" t="s">
        <v>2553</v>
      </c>
      <c r="K469" t="str">
        <f t="shared" si="31"/>
        <v>Gold Desk Lamp (M)</v>
      </c>
      <c r="L469" t="str">
        <f t="shared" si="28"/>
        <v>Ethan</v>
      </c>
      <c r="M469" t="str">
        <f>SUBSTITUTE(Table1[[#This Row],[Raw_Address]], ", ", " - ")</f>
        <v>Nashville - TN</v>
      </c>
      <c r="N469" t="str">
        <f t="shared" si="29"/>
        <v>Q2-2026</v>
      </c>
      <c r="O469" t="str">
        <f t="shared" si="30"/>
        <v>INV/00466/APR</v>
      </c>
    </row>
    <row r="470" spans="1:15" x14ac:dyDescent="0.35">
      <c r="A470" s="3" t="s">
        <v>2073</v>
      </c>
      <c r="B470" s="3" t="s">
        <v>1464</v>
      </c>
      <c r="C470" s="3" t="s">
        <v>18</v>
      </c>
      <c r="D470" s="3" t="s">
        <v>1432</v>
      </c>
      <c r="E470" s="3" t="s">
        <v>1523</v>
      </c>
      <c r="F470" t="s">
        <v>1641</v>
      </c>
      <c r="G470" t="s">
        <v>1485</v>
      </c>
      <c r="H470" s="7">
        <v>46210</v>
      </c>
      <c r="I470" s="7">
        <v>46231</v>
      </c>
      <c r="J470" t="s">
        <v>2554</v>
      </c>
      <c r="K470" t="str">
        <f t="shared" si="31"/>
        <v>White Notebook (XL)</v>
      </c>
      <c r="L470" t="str">
        <f t="shared" si="28"/>
        <v>Evelyn</v>
      </c>
      <c r="M470" t="str">
        <f>SUBSTITUTE(Table1[[#This Row],[Raw_Address]], ", ", " - ")</f>
        <v>Minneapolis - MN</v>
      </c>
      <c r="N470" t="str">
        <f t="shared" si="29"/>
        <v>Q3-2026</v>
      </c>
      <c r="O470" t="str">
        <f t="shared" si="30"/>
        <v>INV/00467/JUL</v>
      </c>
    </row>
    <row r="471" spans="1:15" x14ac:dyDescent="0.35">
      <c r="A471" s="3" t="s">
        <v>2074</v>
      </c>
      <c r="B471" s="3" t="s">
        <v>1474</v>
      </c>
      <c r="C471" s="3" t="s">
        <v>1431</v>
      </c>
      <c r="D471" s="3" t="s">
        <v>1443</v>
      </c>
      <c r="E471" s="3" t="s">
        <v>1527</v>
      </c>
      <c r="F471" t="s">
        <v>1643</v>
      </c>
      <c r="G471" t="s">
        <v>1489</v>
      </c>
      <c r="H471" s="7">
        <v>46307</v>
      </c>
      <c r="I471" s="7">
        <v>46331</v>
      </c>
      <c r="J471" t="s">
        <v>2555</v>
      </c>
      <c r="K471" t="str">
        <f t="shared" si="31"/>
        <v>Gold Power Bank (S)</v>
      </c>
      <c r="L471" t="str">
        <f t="shared" si="28"/>
        <v>Scarlett</v>
      </c>
      <c r="M471" t="str">
        <f>SUBSTITUTE(Table1[[#This Row],[Raw_Address]], ", ", " - ")</f>
        <v>Atlanta - GA</v>
      </c>
      <c r="N471" t="str">
        <f t="shared" si="29"/>
        <v>Q4-2026</v>
      </c>
      <c r="O471" t="str">
        <f t="shared" si="30"/>
        <v>INV/00468/OCT</v>
      </c>
    </row>
    <row r="472" spans="1:15" x14ac:dyDescent="0.35">
      <c r="A472" s="3" t="s">
        <v>2075</v>
      </c>
      <c r="B472" s="3" t="s">
        <v>1419</v>
      </c>
      <c r="C472" s="3" t="s">
        <v>18</v>
      </c>
      <c r="D472" s="3" t="s">
        <v>1454</v>
      </c>
      <c r="E472" s="3" t="s">
        <v>1531</v>
      </c>
      <c r="F472" t="s">
        <v>1645</v>
      </c>
      <c r="G472" t="s">
        <v>1493</v>
      </c>
      <c r="H472" s="7">
        <v>46039</v>
      </c>
      <c r="I472" s="7">
        <v>46066</v>
      </c>
      <c r="J472" t="s">
        <v>2550</v>
      </c>
      <c r="K472" t="str">
        <f t="shared" si="31"/>
        <v>White Tablet (L)</v>
      </c>
      <c r="L472" t="str">
        <f t="shared" si="28"/>
        <v>Sofia</v>
      </c>
      <c r="M472" t="str">
        <f>SUBSTITUTE(Table1[[#This Row],[Raw_Address]], ", ", " - ")</f>
        <v>Tampa - FL</v>
      </c>
      <c r="N472" t="str">
        <f t="shared" si="29"/>
        <v>Q1-2026</v>
      </c>
      <c r="O472" t="str">
        <f t="shared" si="30"/>
        <v>INV/00469/JAN</v>
      </c>
    </row>
    <row r="473" spans="1:15" x14ac:dyDescent="0.35">
      <c r="A473" s="3" t="s">
        <v>2076</v>
      </c>
      <c r="B473" s="3" t="s">
        <v>1430</v>
      </c>
      <c r="C473" s="3" t="s">
        <v>1431</v>
      </c>
      <c r="D473" s="3" t="s">
        <v>1465</v>
      </c>
      <c r="E473" s="3" t="s">
        <v>1535</v>
      </c>
      <c r="F473" t="s">
        <v>1647</v>
      </c>
      <c r="G473" t="s">
        <v>1497</v>
      </c>
      <c r="H473" s="7">
        <v>46134</v>
      </c>
      <c r="I473" s="7">
        <v>46164</v>
      </c>
      <c r="J473" t="s">
        <v>2551</v>
      </c>
      <c r="K473" t="str">
        <f t="shared" si="31"/>
        <v>Gold Mouse (XS)</v>
      </c>
      <c r="L473" t="str">
        <f t="shared" si="28"/>
        <v>Priya</v>
      </c>
      <c r="M473" t="str">
        <f>SUBSTITUTE(Table1[[#This Row],[Raw_Address]], ", ", " - ")</f>
        <v>Phoenix - AZ</v>
      </c>
      <c r="N473" t="str">
        <f t="shared" si="29"/>
        <v>Q2-2026</v>
      </c>
      <c r="O473" t="str">
        <f t="shared" si="30"/>
        <v>INV/00470/APR</v>
      </c>
    </row>
    <row r="474" spans="1:15" x14ac:dyDescent="0.35">
      <c r="A474" s="3" t="s">
        <v>2077</v>
      </c>
      <c r="B474" s="3" t="s">
        <v>1442</v>
      </c>
      <c r="C474" s="3" t="s">
        <v>18</v>
      </c>
      <c r="D474" s="3" t="s">
        <v>1420</v>
      </c>
      <c r="E474" s="3" t="s">
        <v>1539</v>
      </c>
      <c r="F474" t="s">
        <v>1649</v>
      </c>
      <c r="G474" t="s">
        <v>1501</v>
      </c>
      <c r="H474" s="7">
        <v>46230</v>
      </c>
      <c r="I474" s="7">
        <v>46233</v>
      </c>
      <c r="J474" t="s">
        <v>2552</v>
      </c>
      <c r="K474" t="str">
        <f t="shared" si="31"/>
        <v>White Camera (M)</v>
      </c>
      <c r="L474" t="str">
        <f t="shared" si="28"/>
        <v>Kabir</v>
      </c>
      <c r="M474" t="str">
        <f>SUBSTITUTE(Table1[[#This Row],[Raw_Address]], ", ", " - ")</f>
        <v>Raleigh - NC</v>
      </c>
      <c r="N474" t="str">
        <f t="shared" si="29"/>
        <v>Q3-2026</v>
      </c>
      <c r="O474" t="str">
        <f t="shared" si="30"/>
        <v>INV/00471/JUL</v>
      </c>
    </row>
    <row r="475" spans="1:15" x14ac:dyDescent="0.35">
      <c r="A475" s="3" t="s">
        <v>2078</v>
      </c>
      <c r="B475" s="3" t="s">
        <v>1453</v>
      </c>
      <c r="C475" s="3" t="s">
        <v>1431</v>
      </c>
      <c r="D475" s="3" t="s">
        <v>1432</v>
      </c>
      <c r="E475" s="3" t="s">
        <v>1542</v>
      </c>
      <c r="F475" t="s">
        <v>1651</v>
      </c>
      <c r="G475" t="s">
        <v>1505</v>
      </c>
      <c r="H475" s="7">
        <v>46299</v>
      </c>
      <c r="I475" s="7">
        <v>46305</v>
      </c>
      <c r="J475" t="s">
        <v>2553</v>
      </c>
      <c r="K475" t="str">
        <f t="shared" si="31"/>
        <v>Gold Desk Lamp (XL)</v>
      </c>
      <c r="L475" t="str">
        <f t="shared" si="28"/>
        <v>Fatima</v>
      </c>
      <c r="M475" t="str">
        <f>SUBSTITUTE(Table1[[#This Row],[Raw_Address]], ", ", " - ")</f>
        <v>Miami - FL</v>
      </c>
      <c r="N475" t="str">
        <f t="shared" si="29"/>
        <v>Q4-2026</v>
      </c>
      <c r="O475" t="str">
        <f t="shared" si="30"/>
        <v>INV/00472/OCT</v>
      </c>
    </row>
    <row r="476" spans="1:15" x14ac:dyDescent="0.35">
      <c r="A476" s="3" t="s">
        <v>2079</v>
      </c>
      <c r="B476" s="3" t="s">
        <v>1464</v>
      </c>
      <c r="C476" s="3" t="s">
        <v>18</v>
      </c>
      <c r="D476" s="3" t="s">
        <v>1443</v>
      </c>
      <c r="E476" s="3" t="s">
        <v>1545</v>
      </c>
      <c r="F476" t="s">
        <v>1653</v>
      </c>
      <c r="G476" t="s">
        <v>1509</v>
      </c>
      <c r="H476" s="7">
        <v>46031</v>
      </c>
      <c r="I476" s="7">
        <v>46040</v>
      </c>
      <c r="J476" t="s">
        <v>2554</v>
      </c>
      <c r="K476" t="str">
        <f t="shared" si="31"/>
        <v>White Notebook (S)</v>
      </c>
      <c r="L476" t="str">
        <f t="shared" si="28"/>
        <v>Grace</v>
      </c>
      <c r="M476" t="str">
        <f>SUBSTITUTE(Table1[[#This Row],[Raw_Address]], ", ", " - ")</f>
        <v>Charlotte - NC</v>
      </c>
      <c r="N476" t="str">
        <f t="shared" si="29"/>
        <v>Q1-2026</v>
      </c>
      <c r="O476" t="str">
        <f t="shared" si="30"/>
        <v>INV/00473/JAN</v>
      </c>
    </row>
    <row r="477" spans="1:15" x14ac:dyDescent="0.35">
      <c r="A477" s="3" t="s">
        <v>2080</v>
      </c>
      <c r="B477" s="3" t="s">
        <v>1474</v>
      </c>
      <c r="C477" s="3" t="s">
        <v>1431</v>
      </c>
      <c r="D477" s="3" t="s">
        <v>1454</v>
      </c>
      <c r="E477" s="3" t="s">
        <v>1548</v>
      </c>
      <c r="F477" t="s">
        <v>1655</v>
      </c>
      <c r="G477" t="s">
        <v>1513</v>
      </c>
      <c r="H477" s="7">
        <v>46126</v>
      </c>
      <c r="I477" s="7">
        <v>46138</v>
      </c>
      <c r="J477" t="s">
        <v>2555</v>
      </c>
      <c r="K477" t="str">
        <f t="shared" si="31"/>
        <v>Gold Power Bank (L)</v>
      </c>
      <c r="L477" t="str">
        <f t="shared" si="28"/>
        <v>David</v>
      </c>
      <c r="M477" t="str">
        <f>SUBSTITUTE(Table1[[#This Row],[Raw_Address]], ", ", " - ")</f>
        <v>Austin - TX</v>
      </c>
      <c r="N477" t="str">
        <f t="shared" si="29"/>
        <v>Q2-2026</v>
      </c>
      <c r="O477" t="str">
        <f t="shared" si="30"/>
        <v>INV/00474/APR</v>
      </c>
    </row>
    <row r="478" spans="1:15" x14ac:dyDescent="0.35">
      <c r="A478" s="3" t="s">
        <v>2081</v>
      </c>
      <c r="B478" s="3" t="s">
        <v>1419</v>
      </c>
      <c r="C478" s="3" t="s">
        <v>18</v>
      </c>
      <c r="D478" s="3" t="s">
        <v>1465</v>
      </c>
      <c r="E478" s="3" t="s">
        <v>1551</v>
      </c>
      <c r="F478" t="s">
        <v>1657</v>
      </c>
      <c r="G478" t="s">
        <v>1517</v>
      </c>
      <c r="H478" s="7">
        <v>46222</v>
      </c>
      <c r="I478" s="7">
        <v>46237</v>
      </c>
      <c r="J478" t="s">
        <v>2550</v>
      </c>
      <c r="K478" t="str">
        <f t="shared" si="31"/>
        <v>White Tablet (XS)</v>
      </c>
      <c r="L478" t="str">
        <f t="shared" si="28"/>
        <v>Anaya</v>
      </c>
      <c r="M478" t="str">
        <f>SUBSTITUTE(Table1[[#This Row],[Raw_Address]], ", ", " - ")</f>
        <v>San Diego - CA</v>
      </c>
      <c r="N478" t="str">
        <f t="shared" si="29"/>
        <v>Q3-2026</v>
      </c>
      <c r="O478" t="str">
        <f t="shared" si="30"/>
        <v>INV/00475/JUL</v>
      </c>
    </row>
    <row r="479" spans="1:15" x14ac:dyDescent="0.35">
      <c r="A479" s="3" t="s">
        <v>2082</v>
      </c>
      <c r="B479" s="3" t="s">
        <v>1430</v>
      </c>
      <c r="C479" s="3" t="s">
        <v>1431</v>
      </c>
      <c r="D479" s="3" t="s">
        <v>1420</v>
      </c>
      <c r="E479" s="3" t="s">
        <v>1554</v>
      </c>
      <c r="F479" t="s">
        <v>1659</v>
      </c>
      <c r="G479" t="s">
        <v>1521</v>
      </c>
      <c r="H479" s="7">
        <v>46319</v>
      </c>
      <c r="I479" s="7">
        <v>46337</v>
      </c>
      <c r="J479" t="s">
        <v>2551</v>
      </c>
      <c r="K479" t="str">
        <f t="shared" si="31"/>
        <v>Gold Mouse (M)</v>
      </c>
      <c r="L479" t="str">
        <f t="shared" si="28"/>
        <v>Emma</v>
      </c>
      <c r="M479" t="str">
        <f>SUBSTITUTE(Table1[[#This Row],[Raw_Address]], ", ", " - ")</f>
        <v>Kansas City - MO</v>
      </c>
      <c r="N479" t="str">
        <f t="shared" si="29"/>
        <v>Q4-2026</v>
      </c>
      <c r="O479" t="str">
        <f t="shared" si="30"/>
        <v>INV/00476/OCT</v>
      </c>
    </row>
    <row r="480" spans="1:15" x14ac:dyDescent="0.35">
      <c r="A480" s="3" t="s">
        <v>2083</v>
      </c>
      <c r="B480" s="3" t="s">
        <v>1442</v>
      </c>
      <c r="C480" s="3" t="s">
        <v>18</v>
      </c>
      <c r="D480" s="3" t="s">
        <v>1432</v>
      </c>
      <c r="E480" s="3" t="s">
        <v>1557</v>
      </c>
      <c r="F480" t="s">
        <v>1661</v>
      </c>
      <c r="G480" t="s">
        <v>1525</v>
      </c>
      <c r="H480" s="7">
        <v>46023</v>
      </c>
      <c r="I480" s="7">
        <v>46044</v>
      </c>
      <c r="J480" t="s">
        <v>2552</v>
      </c>
      <c r="K480" t="str">
        <f t="shared" si="31"/>
        <v>White Camera (XL)</v>
      </c>
      <c r="L480" t="str">
        <f t="shared" si="28"/>
        <v>Mason</v>
      </c>
      <c r="M480" t="str">
        <f>SUBSTITUTE(Table1[[#This Row],[Raw_Address]], ", ", " - ")</f>
        <v>Portland - OR</v>
      </c>
      <c r="N480" t="str">
        <f t="shared" si="29"/>
        <v>Q1-2026</v>
      </c>
      <c r="O480" t="str">
        <f t="shared" si="30"/>
        <v>INV/00477/JAN</v>
      </c>
    </row>
    <row r="481" spans="1:15" x14ac:dyDescent="0.35">
      <c r="A481" s="3" t="s">
        <v>2084</v>
      </c>
      <c r="B481" s="3" t="s">
        <v>1453</v>
      </c>
      <c r="C481" s="3" t="s">
        <v>1431</v>
      </c>
      <c r="D481" s="3" t="s">
        <v>1443</v>
      </c>
      <c r="E481" s="3" t="s">
        <v>1560</v>
      </c>
      <c r="F481" t="s">
        <v>1663</v>
      </c>
      <c r="G481" t="s">
        <v>1529</v>
      </c>
      <c r="H481" s="7">
        <v>46118</v>
      </c>
      <c r="I481" s="7">
        <v>46142</v>
      </c>
      <c r="J481" t="s">
        <v>2553</v>
      </c>
      <c r="K481" t="str">
        <f t="shared" si="31"/>
        <v>Gold Desk Lamp (S)</v>
      </c>
      <c r="L481" t="str">
        <f t="shared" si="28"/>
        <v>Amelia</v>
      </c>
      <c r="M481" t="str">
        <f>SUBSTITUTE(Table1[[#This Row],[Raw_Address]], ", ", " - ")</f>
        <v>Las Vegas - NV</v>
      </c>
      <c r="N481" t="str">
        <f t="shared" si="29"/>
        <v>Q2-2026</v>
      </c>
      <c r="O481" t="str">
        <f t="shared" si="30"/>
        <v>INV/00478/APR</v>
      </c>
    </row>
    <row r="482" spans="1:15" x14ac:dyDescent="0.35">
      <c r="A482" s="3" t="s">
        <v>2085</v>
      </c>
      <c r="B482" s="3" t="s">
        <v>1464</v>
      </c>
      <c r="C482" s="3" t="s">
        <v>18</v>
      </c>
      <c r="D482" s="3" t="s">
        <v>1454</v>
      </c>
      <c r="E482" s="3" t="s">
        <v>1563</v>
      </c>
      <c r="F482" t="s">
        <v>1665</v>
      </c>
      <c r="G482" t="s">
        <v>1533</v>
      </c>
      <c r="H482" s="7">
        <v>46214</v>
      </c>
      <c r="I482" s="7">
        <v>46241</v>
      </c>
      <c r="J482" t="s">
        <v>2554</v>
      </c>
      <c r="K482" t="str">
        <f t="shared" si="31"/>
        <v>White Notebook (L)</v>
      </c>
      <c r="L482" t="str">
        <f t="shared" si="28"/>
        <v>Charlotte</v>
      </c>
      <c r="M482" t="str">
        <f>SUBSTITUTE(Table1[[#This Row],[Raw_Address]], ", ", " - ")</f>
        <v>Chicago - IL</v>
      </c>
      <c r="N482" t="str">
        <f t="shared" si="29"/>
        <v>Q3-2026</v>
      </c>
      <c r="O482" t="str">
        <f t="shared" si="30"/>
        <v>INV/00479/JUL</v>
      </c>
    </row>
    <row r="483" spans="1:15" x14ac:dyDescent="0.35">
      <c r="A483" s="3" t="s">
        <v>2086</v>
      </c>
      <c r="B483" s="3" t="s">
        <v>1474</v>
      </c>
      <c r="C483" s="3" t="s">
        <v>1431</v>
      </c>
      <c r="D483" s="3" t="s">
        <v>1465</v>
      </c>
      <c r="E483" s="3" t="s">
        <v>1566</v>
      </c>
      <c r="F483" t="s">
        <v>1667</v>
      </c>
      <c r="G483" t="s">
        <v>1537</v>
      </c>
      <c r="H483" s="7">
        <v>46311</v>
      </c>
      <c r="I483" s="7">
        <v>46341</v>
      </c>
      <c r="J483" t="s">
        <v>2555</v>
      </c>
      <c r="K483" t="str">
        <f t="shared" si="31"/>
        <v>Gold Power Bank (XS)</v>
      </c>
      <c r="L483" t="str">
        <f t="shared" si="28"/>
        <v>Henry</v>
      </c>
      <c r="M483" t="str">
        <f>SUBSTITUTE(Table1[[#This Row],[Raw_Address]], ", ", " - ")</f>
        <v>Detroit - MI</v>
      </c>
      <c r="N483" t="str">
        <f t="shared" si="29"/>
        <v>Q4-2026</v>
      </c>
      <c r="O483" t="str">
        <f t="shared" si="30"/>
        <v>INV/00480/OCT</v>
      </c>
    </row>
    <row r="484" spans="1:15" x14ac:dyDescent="0.35">
      <c r="A484" s="3" t="s">
        <v>2087</v>
      </c>
      <c r="B484" s="3" t="s">
        <v>1419</v>
      </c>
      <c r="C484" s="3" t="s">
        <v>18</v>
      </c>
      <c r="D484" s="3" t="s">
        <v>1420</v>
      </c>
      <c r="E484" s="3" t="s">
        <v>1421</v>
      </c>
      <c r="F484" t="s">
        <v>1669</v>
      </c>
      <c r="G484" t="s">
        <v>1423</v>
      </c>
      <c r="H484" s="7">
        <v>46043</v>
      </c>
      <c r="I484" s="7">
        <v>46046</v>
      </c>
      <c r="J484" t="s">
        <v>2550</v>
      </c>
      <c r="K484" t="str">
        <f t="shared" si="31"/>
        <v>White Tablet (M)</v>
      </c>
      <c r="L484" t="str">
        <f t="shared" si="28"/>
        <v>Michael</v>
      </c>
      <c r="M484" t="str">
        <f>SUBSTITUTE(Table1[[#This Row],[Raw_Address]], ", ", " - ")</f>
        <v>Boston - MA</v>
      </c>
      <c r="N484" t="str">
        <f t="shared" si="29"/>
        <v>Q1-2026</v>
      </c>
      <c r="O484" t="str">
        <f t="shared" si="30"/>
        <v>INV/00481/JAN</v>
      </c>
    </row>
    <row r="485" spans="1:15" x14ac:dyDescent="0.35">
      <c r="A485" s="3" t="s">
        <v>2088</v>
      </c>
      <c r="B485" s="3" t="s">
        <v>1430</v>
      </c>
      <c r="C485" s="3" t="s">
        <v>1431</v>
      </c>
      <c r="D485" s="3" t="s">
        <v>1432</v>
      </c>
      <c r="E485" s="3" t="s">
        <v>1433</v>
      </c>
      <c r="F485" t="s">
        <v>1671</v>
      </c>
      <c r="G485" t="s">
        <v>1435</v>
      </c>
      <c r="H485" s="7">
        <v>46138</v>
      </c>
      <c r="I485" s="7">
        <v>46144</v>
      </c>
      <c r="J485" t="s">
        <v>2551</v>
      </c>
      <c r="K485" t="str">
        <f t="shared" si="31"/>
        <v>Gold Mouse (XL)</v>
      </c>
      <c r="L485" t="str">
        <f t="shared" si="28"/>
        <v>Mateo</v>
      </c>
      <c r="M485" t="str">
        <f>SUBSTITUTE(Table1[[#This Row],[Raw_Address]], ", ", " - ")</f>
        <v>Columbus - OH</v>
      </c>
      <c r="N485" t="str">
        <f t="shared" si="29"/>
        <v>Q2-2026</v>
      </c>
      <c r="O485" t="str">
        <f t="shared" si="30"/>
        <v>INV/00482/APR</v>
      </c>
    </row>
    <row r="486" spans="1:15" x14ac:dyDescent="0.35">
      <c r="A486" s="3" t="s">
        <v>2089</v>
      </c>
      <c r="B486" s="3" t="s">
        <v>1442</v>
      </c>
      <c r="C486" s="3" t="s">
        <v>18</v>
      </c>
      <c r="D486" s="3" t="s">
        <v>1443</v>
      </c>
      <c r="E486" s="3" t="s">
        <v>1444</v>
      </c>
      <c r="F486" t="s">
        <v>1673</v>
      </c>
      <c r="G486" t="s">
        <v>1446</v>
      </c>
      <c r="H486" s="7">
        <v>46206</v>
      </c>
      <c r="I486" s="7">
        <v>46215</v>
      </c>
      <c r="J486" t="s">
        <v>2552</v>
      </c>
      <c r="K486" t="str">
        <f t="shared" si="31"/>
        <v>White Camera (S)</v>
      </c>
      <c r="L486" t="str">
        <f t="shared" si="28"/>
        <v>Sana</v>
      </c>
      <c r="M486" t="str">
        <f>SUBSTITUTE(Table1[[#This Row],[Raw_Address]], ", ", " - ")</f>
        <v>Denver - CO</v>
      </c>
      <c r="N486" t="str">
        <f t="shared" si="29"/>
        <v>Q3-2026</v>
      </c>
      <c r="O486" t="str">
        <f t="shared" si="30"/>
        <v>INV/00483/JUL</v>
      </c>
    </row>
    <row r="487" spans="1:15" x14ac:dyDescent="0.35">
      <c r="A487" s="3" t="s">
        <v>2090</v>
      </c>
      <c r="B487" s="3" t="s">
        <v>1453</v>
      </c>
      <c r="C487" s="3" t="s">
        <v>1431</v>
      </c>
      <c r="D487" s="3" t="s">
        <v>1454</v>
      </c>
      <c r="E487" s="3" t="s">
        <v>1455</v>
      </c>
      <c r="F487" t="s">
        <v>1675</v>
      </c>
      <c r="G487" t="s">
        <v>1457</v>
      </c>
      <c r="H487" s="7">
        <v>46303</v>
      </c>
      <c r="I487" s="7">
        <v>46315</v>
      </c>
      <c r="J487" t="s">
        <v>2553</v>
      </c>
      <c r="K487" t="str">
        <f t="shared" si="31"/>
        <v>Gold Desk Lamp (L)</v>
      </c>
      <c r="L487" t="str">
        <f t="shared" si="28"/>
        <v>Omar</v>
      </c>
      <c r="M487" t="str">
        <f>SUBSTITUTE(Table1[[#This Row],[Raw_Address]], ", ", " - ")</f>
        <v>Dallas - TX</v>
      </c>
      <c r="N487" t="str">
        <f t="shared" si="29"/>
        <v>Q4-2026</v>
      </c>
      <c r="O487" t="str">
        <f t="shared" si="30"/>
        <v>INV/00484/OCT</v>
      </c>
    </row>
    <row r="488" spans="1:15" x14ac:dyDescent="0.35">
      <c r="A488" s="3" t="s">
        <v>2091</v>
      </c>
      <c r="B488" s="3" t="s">
        <v>1464</v>
      </c>
      <c r="C488" s="3" t="s">
        <v>18</v>
      </c>
      <c r="D488" s="3" t="s">
        <v>1465</v>
      </c>
      <c r="E488" s="3" t="s">
        <v>1466</v>
      </c>
      <c r="F488" t="s">
        <v>1677</v>
      </c>
      <c r="G488" t="s">
        <v>1468</v>
      </c>
      <c r="H488" s="7">
        <v>46035</v>
      </c>
      <c r="I488" s="7">
        <v>46050</v>
      </c>
      <c r="J488" t="s">
        <v>2554</v>
      </c>
      <c r="K488" t="str">
        <f t="shared" si="31"/>
        <v>White Notebook (XS)</v>
      </c>
      <c r="L488" t="str">
        <f t="shared" si="28"/>
        <v>Nina</v>
      </c>
      <c r="M488" t="str">
        <f>SUBSTITUTE(Table1[[#This Row],[Raw_Address]], ", ", " - ")</f>
        <v>Seattle - WA</v>
      </c>
      <c r="N488" t="str">
        <f t="shared" si="29"/>
        <v>Q1-2026</v>
      </c>
      <c r="O488" t="str">
        <f t="shared" si="30"/>
        <v>INV/00485/JAN</v>
      </c>
    </row>
    <row r="489" spans="1:15" x14ac:dyDescent="0.35">
      <c r="A489" s="3" t="s">
        <v>2092</v>
      </c>
      <c r="B489" s="3" t="s">
        <v>1474</v>
      </c>
      <c r="C489" s="3" t="s">
        <v>1431</v>
      </c>
      <c r="D489" s="3" t="s">
        <v>1420</v>
      </c>
      <c r="E489" s="3" t="s">
        <v>1475</v>
      </c>
      <c r="F489" t="s">
        <v>1679</v>
      </c>
      <c r="G489" t="s">
        <v>1477</v>
      </c>
      <c r="H489" s="7">
        <v>46130</v>
      </c>
      <c r="I489" s="7">
        <v>46148</v>
      </c>
      <c r="J489" t="s">
        <v>2555</v>
      </c>
      <c r="K489" t="str">
        <f t="shared" si="31"/>
        <v>Gold Power Bank (M)</v>
      </c>
      <c r="L489" t="str">
        <f t="shared" si="28"/>
        <v>Jack</v>
      </c>
      <c r="M489" t="str">
        <f>SUBSTITUTE(Table1[[#This Row],[Raw_Address]], ", ", " - ")</f>
        <v>Nashville - TN</v>
      </c>
      <c r="N489" t="str">
        <f t="shared" si="29"/>
        <v>Q2-2026</v>
      </c>
      <c r="O489" t="str">
        <f t="shared" si="30"/>
        <v>INV/00486/APR</v>
      </c>
    </row>
    <row r="490" spans="1:15" x14ac:dyDescent="0.35">
      <c r="A490" s="3" t="s">
        <v>2093</v>
      </c>
      <c r="B490" s="3" t="s">
        <v>1419</v>
      </c>
      <c r="C490" s="3" t="s">
        <v>18</v>
      </c>
      <c r="D490" s="3" t="s">
        <v>1432</v>
      </c>
      <c r="E490" s="3" t="s">
        <v>1483</v>
      </c>
      <c r="F490" t="s">
        <v>1681</v>
      </c>
      <c r="G490" t="s">
        <v>1485</v>
      </c>
      <c r="H490" s="7">
        <v>46226</v>
      </c>
      <c r="I490" s="7">
        <v>46247</v>
      </c>
      <c r="J490" t="s">
        <v>2550</v>
      </c>
      <c r="K490" t="str">
        <f t="shared" si="31"/>
        <v>White Tablet (XL)</v>
      </c>
      <c r="L490" t="str">
        <f t="shared" si="28"/>
        <v>Victor</v>
      </c>
      <c r="M490" t="str">
        <f>SUBSTITUTE(Table1[[#This Row],[Raw_Address]], ", ", " - ")</f>
        <v>Minneapolis - MN</v>
      </c>
      <c r="N490" t="str">
        <f t="shared" si="29"/>
        <v>Q3-2026</v>
      </c>
      <c r="O490" t="str">
        <f t="shared" si="30"/>
        <v>INV/00487/JUL</v>
      </c>
    </row>
    <row r="491" spans="1:15" x14ac:dyDescent="0.35">
      <c r="A491" s="3" t="s">
        <v>2094</v>
      </c>
      <c r="B491" s="3" t="s">
        <v>1430</v>
      </c>
      <c r="C491" s="3" t="s">
        <v>1431</v>
      </c>
      <c r="D491" s="3" t="s">
        <v>1443</v>
      </c>
      <c r="E491" s="3" t="s">
        <v>1487</v>
      </c>
      <c r="F491" t="s">
        <v>39</v>
      </c>
      <c r="G491" t="s">
        <v>1489</v>
      </c>
      <c r="H491" s="7">
        <v>46323</v>
      </c>
      <c r="I491" s="7">
        <v>46347</v>
      </c>
      <c r="J491" t="s">
        <v>2551</v>
      </c>
      <c r="K491" t="str">
        <f t="shared" si="31"/>
        <v>Gold Mouse (S)</v>
      </c>
      <c r="L491" t="str">
        <f t="shared" si="28"/>
        <v>Liam</v>
      </c>
      <c r="M491" t="str">
        <f>SUBSTITUTE(Table1[[#This Row],[Raw_Address]], ", ", " - ")</f>
        <v>Atlanta - GA</v>
      </c>
      <c r="N491" t="str">
        <f t="shared" si="29"/>
        <v>Q4-2026</v>
      </c>
      <c r="O491" t="str">
        <f t="shared" si="30"/>
        <v>INV/00488/OCT</v>
      </c>
    </row>
    <row r="492" spans="1:15" x14ac:dyDescent="0.35">
      <c r="A492" s="3" t="s">
        <v>2095</v>
      </c>
      <c r="B492" s="3" t="s">
        <v>1442</v>
      </c>
      <c r="C492" s="3" t="s">
        <v>18</v>
      </c>
      <c r="D492" s="3" t="s">
        <v>1454</v>
      </c>
      <c r="E492" s="3" t="s">
        <v>1491</v>
      </c>
      <c r="F492" t="s">
        <v>1684</v>
      </c>
      <c r="G492" t="s">
        <v>1493</v>
      </c>
      <c r="H492" s="7">
        <v>46027</v>
      </c>
      <c r="I492" s="7">
        <v>46054</v>
      </c>
      <c r="J492" t="s">
        <v>2552</v>
      </c>
      <c r="K492" t="str">
        <f t="shared" si="31"/>
        <v>White Camera (L)</v>
      </c>
      <c r="L492" t="str">
        <f t="shared" si="28"/>
        <v>Elijah</v>
      </c>
      <c r="M492" t="str">
        <f>SUBSTITUTE(Table1[[#This Row],[Raw_Address]], ", ", " - ")</f>
        <v>Tampa - FL</v>
      </c>
      <c r="N492" t="str">
        <f t="shared" si="29"/>
        <v>Q1-2026</v>
      </c>
      <c r="O492" t="str">
        <f t="shared" si="30"/>
        <v>INV/00489/JAN</v>
      </c>
    </row>
    <row r="493" spans="1:15" x14ac:dyDescent="0.35">
      <c r="A493" s="3" t="s">
        <v>2096</v>
      </c>
      <c r="B493" s="3" t="s">
        <v>1453</v>
      </c>
      <c r="C493" s="3" t="s">
        <v>1431</v>
      </c>
      <c r="D493" s="3" t="s">
        <v>1465</v>
      </c>
      <c r="E493" s="3" t="s">
        <v>1495</v>
      </c>
      <c r="F493" t="s">
        <v>1686</v>
      </c>
      <c r="G493" t="s">
        <v>1497</v>
      </c>
      <c r="H493" s="7">
        <v>46122</v>
      </c>
      <c r="I493" s="7">
        <v>46152</v>
      </c>
      <c r="J493" t="s">
        <v>2553</v>
      </c>
      <c r="K493" t="str">
        <f t="shared" si="31"/>
        <v>Gold Desk Lamp (XS)</v>
      </c>
      <c r="L493" t="str">
        <f t="shared" si="28"/>
        <v>Lucas</v>
      </c>
      <c r="M493" t="str">
        <f>SUBSTITUTE(Table1[[#This Row],[Raw_Address]], ", ", " - ")</f>
        <v>Phoenix - AZ</v>
      </c>
      <c r="N493" t="str">
        <f t="shared" si="29"/>
        <v>Q2-2026</v>
      </c>
      <c r="O493" t="str">
        <f t="shared" si="30"/>
        <v>INV/00490/APR</v>
      </c>
    </row>
    <row r="494" spans="1:15" x14ac:dyDescent="0.35">
      <c r="A494" s="3" t="s">
        <v>2097</v>
      </c>
      <c r="B494" s="3" t="s">
        <v>1464</v>
      </c>
      <c r="C494" s="3" t="s">
        <v>18</v>
      </c>
      <c r="D494" s="3" t="s">
        <v>1420</v>
      </c>
      <c r="E494" s="3" t="s">
        <v>1499</v>
      </c>
      <c r="F494" t="s">
        <v>1688</v>
      </c>
      <c r="G494" t="s">
        <v>1501</v>
      </c>
      <c r="H494" s="7">
        <v>46218</v>
      </c>
      <c r="I494" s="7">
        <v>46221</v>
      </c>
      <c r="J494" t="s">
        <v>2554</v>
      </c>
      <c r="K494" t="str">
        <f t="shared" si="31"/>
        <v>White Notebook (M)</v>
      </c>
      <c r="L494" t="str">
        <f t="shared" si="28"/>
        <v>Ethan</v>
      </c>
      <c r="M494" t="str">
        <f>SUBSTITUTE(Table1[[#This Row],[Raw_Address]], ", ", " - ")</f>
        <v>Raleigh - NC</v>
      </c>
      <c r="N494" t="str">
        <f t="shared" si="29"/>
        <v>Q3-2026</v>
      </c>
      <c r="O494" t="str">
        <f t="shared" si="30"/>
        <v>INV/00491/JUL</v>
      </c>
    </row>
    <row r="495" spans="1:15" x14ac:dyDescent="0.35">
      <c r="A495" s="3" t="s">
        <v>2098</v>
      </c>
      <c r="B495" s="3" t="s">
        <v>1474</v>
      </c>
      <c r="C495" s="3" t="s">
        <v>1431</v>
      </c>
      <c r="D495" s="3" t="s">
        <v>1432</v>
      </c>
      <c r="E495" s="3" t="s">
        <v>1503</v>
      </c>
      <c r="F495" t="s">
        <v>1690</v>
      </c>
      <c r="G495" t="s">
        <v>1505</v>
      </c>
      <c r="H495" s="7">
        <v>46315</v>
      </c>
      <c r="I495" s="7">
        <v>46321</v>
      </c>
      <c r="J495" t="s">
        <v>2555</v>
      </c>
      <c r="K495" t="str">
        <f t="shared" si="31"/>
        <v>Gold Power Bank (XL)</v>
      </c>
      <c r="L495" t="str">
        <f t="shared" si="28"/>
        <v>Evelyn</v>
      </c>
      <c r="M495" t="str">
        <f>SUBSTITUTE(Table1[[#This Row],[Raw_Address]], ", ", " - ")</f>
        <v>Miami - FL</v>
      </c>
      <c r="N495" t="str">
        <f t="shared" si="29"/>
        <v>Q4-2026</v>
      </c>
      <c r="O495" t="str">
        <f t="shared" si="30"/>
        <v>INV/00492/OCT</v>
      </c>
    </row>
    <row r="496" spans="1:15" x14ac:dyDescent="0.35">
      <c r="A496" s="3" t="s">
        <v>2099</v>
      </c>
      <c r="B496" s="3" t="s">
        <v>1419</v>
      </c>
      <c r="C496" s="3" t="s">
        <v>18</v>
      </c>
      <c r="D496" s="3" t="s">
        <v>1443</v>
      </c>
      <c r="E496" s="3" t="s">
        <v>1507</v>
      </c>
      <c r="F496" t="s">
        <v>1692</v>
      </c>
      <c r="G496" t="s">
        <v>1509</v>
      </c>
      <c r="H496" s="7">
        <v>46047</v>
      </c>
      <c r="I496" s="7">
        <v>46056</v>
      </c>
      <c r="J496" t="s">
        <v>2550</v>
      </c>
      <c r="K496" t="str">
        <f t="shared" si="31"/>
        <v>White Tablet (S)</v>
      </c>
      <c r="L496" t="str">
        <f t="shared" si="28"/>
        <v>Scarlett</v>
      </c>
      <c r="M496" t="str">
        <f>SUBSTITUTE(Table1[[#This Row],[Raw_Address]], ", ", " - ")</f>
        <v>Charlotte - NC</v>
      </c>
      <c r="N496" t="str">
        <f t="shared" si="29"/>
        <v>Q1-2026</v>
      </c>
      <c r="O496" t="str">
        <f t="shared" si="30"/>
        <v>INV/00493/JAN</v>
      </c>
    </row>
    <row r="497" spans="1:15" x14ac:dyDescent="0.35">
      <c r="A497" s="3" t="s">
        <v>2100</v>
      </c>
      <c r="B497" s="3" t="s">
        <v>1430</v>
      </c>
      <c r="C497" s="3" t="s">
        <v>1431</v>
      </c>
      <c r="D497" s="3" t="s">
        <v>1454</v>
      </c>
      <c r="E497" s="3" t="s">
        <v>1511</v>
      </c>
      <c r="F497" t="s">
        <v>1694</v>
      </c>
      <c r="G497" t="s">
        <v>1513</v>
      </c>
      <c r="H497" s="7">
        <v>46114</v>
      </c>
      <c r="I497" s="7">
        <v>46126</v>
      </c>
      <c r="J497" t="s">
        <v>2551</v>
      </c>
      <c r="K497" t="str">
        <f t="shared" si="31"/>
        <v>Gold Mouse (L)</v>
      </c>
      <c r="L497" t="str">
        <f t="shared" si="28"/>
        <v>Sofia</v>
      </c>
      <c r="M497" t="str">
        <f>SUBSTITUTE(Table1[[#This Row],[Raw_Address]], ", ", " - ")</f>
        <v>Austin - TX</v>
      </c>
      <c r="N497" t="str">
        <f t="shared" si="29"/>
        <v>Q2-2026</v>
      </c>
      <c r="O497" t="str">
        <f t="shared" si="30"/>
        <v>INV/00494/APR</v>
      </c>
    </row>
    <row r="498" spans="1:15" x14ac:dyDescent="0.35">
      <c r="A498" s="3" t="s">
        <v>2101</v>
      </c>
      <c r="B498" s="3" t="s">
        <v>1442</v>
      </c>
      <c r="C498" s="3" t="s">
        <v>18</v>
      </c>
      <c r="D498" s="3" t="s">
        <v>1465</v>
      </c>
      <c r="E498" s="3" t="s">
        <v>1515</v>
      </c>
      <c r="F498" t="s">
        <v>1696</v>
      </c>
      <c r="G498" t="s">
        <v>1517</v>
      </c>
      <c r="H498" s="7">
        <v>46210</v>
      </c>
      <c r="I498" s="7">
        <v>46225</v>
      </c>
      <c r="J498" t="s">
        <v>2552</v>
      </c>
      <c r="K498" t="str">
        <f t="shared" si="31"/>
        <v>White Camera (XS)</v>
      </c>
      <c r="L498" t="str">
        <f t="shared" si="28"/>
        <v>Priya</v>
      </c>
      <c r="M498" t="str">
        <f>SUBSTITUTE(Table1[[#This Row],[Raw_Address]], ", ", " - ")</f>
        <v>San Diego - CA</v>
      </c>
      <c r="N498" t="str">
        <f t="shared" si="29"/>
        <v>Q3-2026</v>
      </c>
      <c r="O498" t="str">
        <f t="shared" si="30"/>
        <v>INV/00495/JUL</v>
      </c>
    </row>
    <row r="499" spans="1:15" x14ac:dyDescent="0.35">
      <c r="A499" s="3" t="s">
        <v>2102</v>
      </c>
      <c r="B499" s="3" t="s">
        <v>1453</v>
      </c>
      <c r="C499" s="3" t="s">
        <v>1431</v>
      </c>
      <c r="D499" s="3" t="s">
        <v>1420</v>
      </c>
      <c r="E499" s="3" t="s">
        <v>1519</v>
      </c>
      <c r="F499" t="s">
        <v>1698</v>
      </c>
      <c r="G499" t="s">
        <v>1521</v>
      </c>
      <c r="H499" s="7">
        <v>46307</v>
      </c>
      <c r="I499" s="7">
        <v>46325</v>
      </c>
      <c r="J499" t="s">
        <v>2553</v>
      </c>
      <c r="K499" t="str">
        <f t="shared" si="31"/>
        <v>Gold Desk Lamp (M)</v>
      </c>
      <c r="L499" t="str">
        <f t="shared" si="28"/>
        <v>Kabir</v>
      </c>
      <c r="M499" t="str">
        <f>SUBSTITUTE(Table1[[#This Row],[Raw_Address]], ", ", " - ")</f>
        <v>Kansas City - MO</v>
      </c>
      <c r="N499" t="str">
        <f t="shared" si="29"/>
        <v>Q4-2026</v>
      </c>
      <c r="O499" t="str">
        <f t="shared" si="30"/>
        <v>INV/00496/OCT</v>
      </c>
    </row>
    <row r="500" spans="1:15" x14ac:dyDescent="0.35">
      <c r="A500" s="3" t="s">
        <v>2103</v>
      </c>
      <c r="B500" s="3" t="s">
        <v>1464</v>
      </c>
      <c r="C500" s="3" t="s">
        <v>18</v>
      </c>
      <c r="D500" s="3" t="s">
        <v>1432</v>
      </c>
      <c r="E500" s="3" t="s">
        <v>1523</v>
      </c>
      <c r="F500" t="s">
        <v>1700</v>
      </c>
      <c r="G500" t="s">
        <v>1525</v>
      </c>
      <c r="H500" s="7">
        <v>46039</v>
      </c>
      <c r="I500" s="7">
        <v>46060</v>
      </c>
      <c r="J500" t="s">
        <v>2554</v>
      </c>
      <c r="K500" t="str">
        <f t="shared" si="31"/>
        <v>White Notebook (XL)</v>
      </c>
      <c r="L500" t="str">
        <f t="shared" si="28"/>
        <v>Fatima</v>
      </c>
      <c r="M500" t="str">
        <f>SUBSTITUTE(Table1[[#This Row],[Raw_Address]], ", ", " - ")</f>
        <v>Portland - OR</v>
      </c>
      <c r="N500" t="str">
        <f t="shared" si="29"/>
        <v>Q1-2026</v>
      </c>
      <c r="O500" t="str">
        <f t="shared" si="30"/>
        <v>INV/00497/JAN</v>
      </c>
    </row>
    <row r="501" spans="1:15" x14ac:dyDescent="0.35">
      <c r="A501" s="3" t="s">
        <v>2104</v>
      </c>
      <c r="B501" s="3" t="s">
        <v>1474</v>
      </c>
      <c r="C501" s="3" t="s">
        <v>1431</v>
      </c>
      <c r="D501" s="3" t="s">
        <v>1443</v>
      </c>
      <c r="E501" s="3" t="s">
        <v>1527</v>
      </c>
      <c r="F501" t="s">
        <v>1702</v>
      </c>
      <c r="G501" t="s">
        <v>1529</v>
      </c>
      <c r="H501" s="7">
        <v>46134</v>
      </c>
      <c r="I501" s="7">
        <v>46158</v>
      </c>
      <c r="J501" t="s">
        <v>2555</v>
      </c>
      <c r="K501" t="str">
        <f t="shared" si="31"/>
        <v>Gold Power Bank (S)</v>
      </c>
      <c r="L501" t="str">
        <f t="shared" si="28"/>
        <v>Grace</v>
      </c>
      <c r="M501" t="str">
        <f>SUBSTITUTE(Table1[[#This Row],[Raw_Address]], ", ", " - ")</f>
        <v>Las Vegas - NV</v>
      </c>
      <c r="N501" t="str">
        <f t="shared" si="29"/>
        <v>Q2-2026</v>
      </c>
      <c r="O501" t="str">
        <f t="shared" si="30"/>
        <v>INV/00498/APR</v>
      </c>
    </row>
    <row r="502" spans="1:15" x14ac:dyDescent="0.35">
      <c r="A502" s="3" t="s">
        <v>2105</v>
      </c>
      <c r="B502" s="3" t="s">
        <v>1419</v>
      </c>
      <c r="C502" s="3" t="s">
        <v>18</v>
      </c>
      <c r="D502" s="3" t="s">
        <v>1454</v>
      </c>
      <c r="E502" s="3" t="s">
        <v>1531</v>
      </c>
      <c r="F502" t="s">
        <v>1704</v>
      </c>
      <c r="G502" t="s">
        <v>1533</v>
      </c>
      <c r="H502" s="7">
        <v>46230</v>
      </c>
      <c r="I502" s="7">
        <v>46257</v>
      </c>
      <c r="J502" t="s">
        <v>2550</v>
      </c>
      <c r="K502" t="str">
        <f t="shared" si="31"/>
        <v>White Tablet (L)</v>
      </c>
      <c r="L502" t="str">
        <f t="shared" si="28"/>
        <v>David</v>
      </c>
      <c r="M502" t="str">
        <f>SUBSTITUTE(Table1[[#This Row],[Raw_Address]], ", ", " - ")</f>
        <v>Chicago - IL</v>
      </c>
      <c r="N502" t="str">
        <f t="shared" si="29"/>
        <v>Q3-2026</v>
      </c>
      <c r="O502" t="str">
        <f t="shared" si="30"/>
        <v>INV/00499/JUL</v>
      </c>
    </row>
    <row r="503" spans="1:15" x14ac:dyDescent="0.35">
      <c r="A503" s="3" t="s">
        <v>2106</v>
      </c>
      <c r="B503" s="3" t="s">
        <v>1430</v>
      </c>
      <c r="C503" s="3" t="s">
        <v>1431</v>
      </c>
      <c r="D503" s="3" t="s">
        <v>1465</v>
      </c>
      <c r="E503" s="3" t="s">
        <v>1535</v>
      </c>
      <c r="F503" t="s">
        <v>1706</v>
      </c>
      <c r="G503" t="s">
        <v>1537</v>
      </c>
      <c r="H503" s="7">
        <v>46299</v>
      </c>
      <c r="I503" s="7">
        <v>46329</v>
      </c>
      <c r="J503" t="s">
        <v>2551</v>
      </c>
      <c r="K503" t="str">
        <f t="shared" si="31"/>
        <v>Gold Mouse (XS)</v>
      </c>
      <c r="L503" t="str">
        <f t="shared" si="28"/>
        <v>Anaya</v>
      </c>
      <c r="M503" t="str">
        <f>SUBSTITUTE(Table1[[#This Row],[Raw_Address]], ", ", " - ")</f>
        <v>Detroit - MI</v>
      </c>
      <c r="N503" t="str">
        <f t="shared" si="29"/>
        <v>Q4-2026</v>
      </c>
      <c r="O503" t="str">
        <f t="shared" si="30"/>
        <v>INV/00500/OCT</v>
      </c>
    </row>
    <row r="504" spans="1:15" x14ac:dyDescent="0.35">
      <c r="A504" s="3" t="s">
        <v>2107</v>
      </c>
      <c r="B504" s="3" t="s">
        <v>1442</v>
      </c>
      <c r="C504" s="3" t="s">
        <v>18</v>
      </c>
      <c r="D504" s="3" t="s">
        <v>1420</v>
      </c>
      <c r="E504" s="3" t="s">
        <v>1539</v>
      </c>
      <c r="F504" t="s">
        <v>1422</v>
      </c>
      <c r="G504" t="s">
        <v>1423</v>
      </c>
      <c r="H504" s="7">
        <v>46031</v>
      </c>
      <c r="I504" s="7">
        <v>46034</v>
      </c>
      <c r="J504" t="s">
        <v>2552</v>
      </c>
      <c r="K504" t="str">
        <f t="shared" si="31"/>
        <v>White Camera (M)</v>
      </c>
      <c r="L504" t="str">
        <f t="shared" si="28"/>
        <v>Emma</v>
      </c>
      <c r="M504" t="str">
        <f>SUBSTITUTE(Table1[[#This Row],[Raw_Address]], ", ", " - ")</f>
        <v>Boston - MA</v>
      </c>
      <c r="N504" t="str">
        <f t="shared" si="29"/>
        <v>Q1-2026</v>
      </c>
      <c r="O504" t="str">
        <f t="shared" si="30"/>
        <v>INV/00501/JAN</v>
      </c>
    </row>
    <row r="505" spans="1:15" x14ac:dyDescent="0.35">
      <c r="A505" s="3" t="s">
        <v>2108</v>
      </c>
      <c r="B505" s="3" t="s">
        <v>1453</v>
      </c>
      <c r="C505" s="3" t="s">
        <v>1431</v>
      </c>
      <c r="D505" s="3" t="s">
        <v>1432</v>
      </c>
      <c r="E505" s="3" t="s">
        <v>1542</v>
      </c>
      <c r="F505" t="s">
        <v>1434</v>
      </c>
      <c r="G505" t="s">
        <v>1435</v>
      </c>
      <c r="H505" s="7">
        <v>46126</v>
      </c>
      <c r="I505" s="7">
        <v>46132</v>
      </c>
      <c r="J505" t="s">
        <v>2553</v>
      </c>
      <c r="K505" t="str">
        <f t="shared" si="31"/>
        <v>Gold Desk Lamp (XL)</v>
      </c>
      <c r="L505" t="str">
        <f t="shared" si="28"/>
        <v>Mason</v>
      </c>
      <c r="M505" t="str">
        <f>SUBSTITUTE(Table1[[#This Row],[Raw_Address]], ", ", " - ")</f>
        <v>Columbus - OH</v>
      </c>
      <c r="N505" t="str">
        <f t="shared" si="29"/>
        <v>Q2-2026</v>
      </c>
      <c r="O505" t="str">
        <f t="shared" si="30"/>
        <v>INV/00502/APR</v>
      </c>
    </row>
    <row r="506" spans="1:15" x14ac:dyDescent="0.35">
      <c r="A506" s="3" t="s">
        <v>2109</v>
      </c>
      <c r="B506" s="3" t="s">
        <v>1464</v>
      </c>
      <c r="C506" s="3" t="s">
        <v>18</v>
      </c>
      <c r="D506" s="3" t="s">
        <v>1443</v>
      </c>
      <c r="E506" s="3" t="s">
        <v>1545</v>
      </c>
      <c r="F506" t="s">
        <v>1445</v>
      </c>
      <c r="G506" t="s">
        <v>1446</v>
      </c>
      <c r="H506" s="7">
        <v>46222</v>
      </c>
      <c r="I506" s="7">
        <v>46231</v>
      </c>
      <c r="J506" t="s">
        <v>2554</v>
      </c>
      <c r="K506" t="str">
        <f t="shared" si="31"/>
        <v>White Notebook (S)</v>
      </c>
      <c r="L506" t="str">
        <f t="shared" si="28"/>
        <v>Amelia</v>
      </c>
      <c r="M506" t="str">
        <f>SUBSTITUTE(Table1[[#This Row],[Raw_Address]], ", ", " - ")</f>
        <v>Denver - CO</v>
      </c>
      <c r="N506" t="str">
        <f t="shared" si="29"/>
        <v>Q3-2026</v>
      </c>
      <c r="O506" t="str">
        <f t="shared" si="30"/>
        <v>INV/00503/JUL</v>
      </c>
    </row>
    <row r="507" spans="1:15" x14ac:dyDescent="0.35">
      <c r="A507" s="3" t="s">
        <v>2110</v>
      </c>
      <c r="B507" s="3" t="s">
        <v>1474</v>
      </c>
      <c r="C507" s="3" t="s">
        <v>1431</v>
      </c>
      <c r="D507" s="3" t="s">
        <v>1454</v>
      </c>
      <c r="E507" s="3" t="s">
        <v>1548</v>
      </c>
      <c r="F507" t="s">
        <v>1456</v>
      </c>
      <c r="G507" t="s">
        <v>1457</v>
      </c>
      <c r="H507" s="7">
        <v>46319</v>
      </c>
      <c r="I507" s="7">
        <v>46331</v>
      </c>
      <c r="J507" t="s">
        <v>2555</v>
      </c>
      <c r="K507" t="str">
        <f t="shared" si="31"/>
        <v>Gold Power Bank (L)</v>
      </c>
      <c r="L507" t="str">
        <f t="shared" si="28"/>
        <v>Charlotte</v>
      </c>
      <c r="M507" t="str">
        <f>SUBSTITUTE(Table1[[#This Row],[Raw_Address]], ", ", " - ")</f>
        <v>Dallas - TX</v>
      </c>
      <c r="N507" t="str">
        <f t="shared" si="29"/>
        <v>Q4-2026</v>
      </c>
      <c r="O507" t="str">
        <f t="shared" si="30"/>
        <v>INV/00504/OCT</v>
      </c>
    </row>
    <row r="508" spans="1:15" x14ac:dyDescent="0.35">
      <c r="A508" s="3" t="s">
        <v>2111</v>
      </c>
      <c r="B508" s="3" t="s">
        <v>1419</v>
      </c>
      <c r="C508" s="3" t="s">
        <v>18</v>
      </c>
      <c r="D508" s="3" t="s">
        <v>1465</v>
      </c>
      <c r="E508" s="3" t="s">
        <v>1551</v>
      </c>
      <c r="F508" t="s">
        <v>1467</v>
      </c>
      <c r="G508" t="s">
        <v>1468</v>
      </c>
      <c r="H508" s="7">
        <v>46023</v>
      </c>
      <c r="I508" s="7">
        <v>46038</v>
      </c>
      <c r="J508" t="s">
        <v>2550</v>
      </c>
      <c r="K508" t="str">
        <f t="shared" si="31"/>
        <v>White Tablet (XS)</v>
      </c>
      <c r="L508" t="str">
        <f t="shared" si="28"/>
        <v>Henry</v>
      </c>
      <c r="M508" t="str">
        <f>SUBSTITUTE(Table1[[#This Row],[Raw_Address]], ", ", " - ")</f>
        <v>Seattle - WA</v>
      </c>
      <c r="N508" t="str">
        <f t="shared" si="29"/>
        <v>Q1-2026</v>
      </c>
      <c r="O508" t="str">
        <f t="shared" si="30"/>
        <v>INV/00505/JAN</v>
      </c>
    </row>
    <row r="509" spans="1:15" x14ac:dyDescent="0.35">
      <c r="A509" s="3" t="s">
        <v>2112</v>
      </c>
      <c r="B509" s="3" t="s">
        <v>1430</v>
      </c>
      <c r="C509" s="3" t="s">
        <v>1431</v>
      </c>
      <c r="D509" s="3" t="s">
        <v>1420</v>
      </c>
      <c r="E509" s="3" t="s">
        <v>1554</v>
      </c>
      <c r="F509" t="s">
        <v>1476</v>
      </c>
      <c r="G509" t="s">
        <v>1477</v>
      </c>
      <c r="H509" s="7">
        <v>46118</v>
      </c>
      <c r="I509" s="7">
        <v>46136</v>
      </c>
      <c r="J509" t="s">
        <v>2551</v>
      </c>
      <c r="K509" t="str">
        <f t="shared" si="31"/>
        <v>Gold Mouse (M)</v>
      </c>
      <c r="L509" t="str">
        <f t="shared" si="28"/>
        <v>Michael</v>
      </c>
      <c r="M509" t="str">
        <f>SUBSTITUTE(Table1[[#This Row],[Raw_Address]], ", ", " - ")</f>
        <v>Nashville - TN</v>
      </c>
      <c r="N509" t="str">
        <f t="shared" si="29"/>
        <v>Q2-2026</v>
      </c>
      <c r="O509" t="str">
        <f t="shared" si="30"/>
        <v>INV/00506/APR</v>
      </c>
    </row>
    <row r="510" spans="1:15" x14ac:dyDescent="0.35">
      <c r="A510" s="3" t="s">
        <v>2113</v>
      </c>
      <c r="B510" s="3" t="s">
        <v>1442</v>
      </c>
      <c r="C510" s="3" t="s">
        <v>18</v>
      </c>
      <c r="D510" s="3" t="s">
        <v>1432</v>
      </c>
      <c r="E510" s="3" t="s">
        <v>1557</v>
      </c>
      <c r="F510" t="s">
        <v>1484</v>
      </c>
      <c r="G510" t="s">
        <v>1485</v>
      </c>
      <c r="H510" s="7">
        <v>46214</v>
      </c>
      <c r="I510" s="7">
        <v>46235</v>
      </c>
      <c r="J510" t="s">
        <v>2552</v>
      </c>
      <c r="K510" t="str">
        <f t="shared" si="31"/>
        <v>White Camera (XL)</v>
      </c>
      <c r="L510" t="str">
        <f t="shared" si="28"/>
        <v>Mateo</v>
      </c>
      <c r="M510" t="str">
        <f>SUBSTITUTE(Table1[[#This Row],[Raw_Address]], ", ", " - ")</f>
        <v>Minneapolis - MN</v>
      </c>
      <c r="N510" t="str">
        <f t="shared" si="29"/>
        <v>Q3-2026</v>
      </c>
      <c r="O510" t="str">
        <f t="shared" si="30"/>
        <v>INV/00507/JUL</v>
      </c>
    </row>
    <row r="511" spans="1:15" x14ac:dyDescent="0.35">
      <c r="A511" s="3" t="s">
        <v>2114</v>
      </c>
      <c r="B511" s="3" t="s">
        <v>1453</v>
      </c>
      <c r="C511" s="3" t="s">
        <v>1431</v>
      </c>
      <c r="D511" s="3" t="s">
        <v>1443</v>
      </c>
      <c r="E511" s="3" t="s">
        <v>1560</v>
      </c>
      <c r="F511" t="s">
        <v>1488</v>
      </c>
      <c r="G511" t="s">
        <v>1489</v>
      </c>
      <c r="H511" s="7">
        <v>46311</v>
      </c>
      <c r="I511" s="7">
        <v>46335</v>
      </c>
      <c r="J511" t="s">
        <v>2553</v>
      </c>
      <c r="K511" t="str">
        <f t="shared" si="31"/>
        <v>Gold Desk Lamp (S)</v>
      </c>
      <c r="L511" t="str">
        <f t="shared" si="28"/>
        <v>Sana</v>
      </c>
      <c r="M511" t="str">
        <f>SUBSTITUTE(Table1[[#This Row],[Raw_Address]], ", ", " - ")</f>
        <v>Atlanta - GA</v>
      </c>
      <c r="N511" t="str">
        <f t="shared" si="29"/>
        <v>Q4-2026</v>
      </c>
      <c r="O511" t="str">
        <f t="shared" si="30"/>
        <v>INV/00508/OCT</v>
      </c>
    </row>
    <row r="512" spans="1:15" x14ac:dyDescent="0.35">
      <c r="A512" s="3" t="s">
        <v>2115</v>
      </c>
      <c r="B512" s="3" t="s">
        <v>1464</v>
      </c>
      <c r="C512" s="3" t="s">
        <v>18</v>
      </c>
      <c r="D512" s="3" t="s">
        <v>1454</v>
      </c>
      <c r="E512" s="3" t="s">
        <v>1563</v>
      </c>
      <c r="F512" t="s">
        <v>1492</v>
      </c>
      <c r="G512" t="s">
        <v>1493</v>
      </c>
      <c r="H512" s="7">
        <v>46043</v>
      </c>
      <c r="I512" s="7">
        <v>46070</v>
      </c>
      <c r="J512" t="s">
        <v>2554</v>
      </c>
      <c r="K512" t="str">
        <f t="shared" si="31"/>
        <v>White Notebook (L)</v>
      </c>
      <c r="L512" t="str">
        <f t="shared" si="28"/>
        <v>Omar</v>
      </c>
      <c r="M512" t="str">
        <f>SUBSTITUTE(Table1[[#This Row],[Raw_Address]], ", ", " - ")</f>
        <v>Tampa - FL</v>
      </c>
      <c r="N512" t="str">
        <f t="shared" si="29"/>
        <v>Q1-2026</v>
      </c>
      <c r="O512" t="str">
        <f t="shared" si="30"/>
        <v>INV/00509/JAN</v>
      </c>
    </row>
    <row r="513" spans="1:15" x14ac:dyDescent="0.35">
      <c r="A513" s="3" t="s">
        <v>2116</v>
      </c>
      <c r="B513" s="3" t="s">
        <v>1474</v>
      </c>
      <c r="C513" s="3" t="s">
        <v>1431</v>
      </c>
      <c r="D513" s="3" t="s">
        <v>1465</v>
      </c>
      <c r="E513" s="3" t="s">
        <v>1566</v>
      </c>
      <c r="F513" t="s">
        <v>1496</v>
      </c>
      <c r="G513" t="s">
        <v>1497</v>
      </c>
      <c r="H513" s="7">
        <v>46138</v>
      </c>
      <c r="I513" s="7">
        <v>46168</v>
      </c>
      <c r="J513" t="s">
        <v>2555</v>
      </c>
      <c r="K513" t="str">
        <f t="shared" si="31"/>
        <v>Gold Power Bank (XS)</v>
      </c>
      <c r="L513" t="str">
        <f t="shared" si="28"/>
        <v>Nina</v>
      </c>
      <c r="M513" t="str">
        <f>SUBSTITUTE(Table1[[#This Row],[Raw_Address]], ", ", " - ")</f>
        <v>Phoenix - AZ</v>
      </c>
      <c r="N513" t="str">
        <f t="shared" si="29"/>
        <v>Q2-2026</v>
      </c>
      <c r="O513" t="str">
        <f t="shared" si="30"/>
        <v>INV/00510/APR</v>
      </c>
    </row>
    <row r="514" spans="1:15" x14ac:dyDescent="0.35">
      <c r="A514" s="3" t="s">
        <v>2117</v>
      </c>
      <c r="B514" s="3" t="s">
        <v>1419</v>
      </c>
      <c r="C514" s="3" t="s">
        <v>18</v>
      </c>
      <c r="D514" s="3" t="s">
        <v>1420</v>
      </c>
      <c r="E514" s="3" t="s">
        <v>1421</v>
      </c>
      <c r="F514" t="s">
        <v>1500</v>
      </c>
      <c r="G514" t="s">
        <v>1501</v>
      </c>
      <c r="H514" s="7">
        <v>46206</v>
      </c>
      <c r="I514" s="7">
        <v>46209</v>
      </c>
      <c r="J514" t="s">
        <v>2550</v>
      </c>
      <c r="K514" t="str">
        <f t="shared" si="31"/>
        <v>White Tablet (M)</v>
      </c>
      <c r="L514" t="str">
        <f t="shared" si="28"/>
        <v>Jack</v>
      </c>
      <c r="M514" t="str">
        <f>SUBSTITUTE(Table1[[#This Row],[Raw_Address]], ", ", " - ")</f>
        <v>Raleigh - NC</v>
      </c>
      <c r="N514" t="str">
        <f t="shared" si="29"/>
        <v>Q3-2026</v>
      </c>
      <c r="O514" t="str">
        <f t="shared" si="30"/>
        <v>INV/00511/JUL</v>
      </c>
    </row>
    <row r="515" spans="1:15" x14ac:dyDescent="0.35">
      <c r="A515" s="3" t="s">
        <v>2118</v>
      </c>
      <c r="B515" s="3" t="s">
        <v>1430</v>
      </c>
      <c r="C515" s="3" t="s">
        <v>1431</v>
      </c>
      <c r="D515" s="3" t="s">
        <v>1432</v>
      </c>
      <c r="E515" s="3" t="s">
        <v>1433</v>
      </c>
      <c r="F515" t="s">
        <v>1504</v>
      </c>
      <c r="G515" t="s">
        <v>1505</v>
      </c>
      <c r="H515" s="7">
        <v>46303</v>
      </c>
      <c r="I515" s="7">
        <v>46309</v>
      </c>
      <c r="J515" t="s">
        <v>2551</v>
      </c>
      <c r="K515" t="str">
        <f t="shared" si="31"/>
        <v>Gold Mouse (XL)</v>
      </c>
      <c r="L515" t="str">
        <f t="shared" si="28"/>
        <v>Victor</v>
      </c>
      <c r="M515" t="str">
        <f>SUBSTITUTE(Table1[[#This Row],[Raw_Address]], ", ", " - ")</f>
        <v>Miami - FL</v>
      </c>
      <c r="N515" t="str">
        <f t="shared" si="29"/>
        <v>Q4-2026</v>
      </c>
      <c r="O515" t="str">
        <f t="shared" si="30"/>
        <v>INV/00512/OCT</v>
      </c>
    </row>
    <row r="516" spans="1:15" x14ac:dyDescent="0.35">
      <c r="A516" s="3" t="s">
        <v>2119</v>
      </c>
      <c r="B516" s="3" t="s">
        <v>1442</v>
      </c>
      <c r="C516" s="3" t="s">
        <v>18</v>
      </c>
      <c r="D516" s="3" t="s">
        <v>1443</v>
      </c>
      <c r="E516" s="3" t="s">
        <v>1444</v>
      </c>
      <c r="F516" t="s">
        <v>1508</v>
      </c>
      <c r="G516" t="s">
        <v>1509</v>
      </c>
      <c r="H516" s="7">
        <v>46035</v>
      </c>
      <c r="I516" s="7">
        <v>46044</v>
      </c>
      <c r="J516" t="s">
        <v>2552</v>
      </c>
      <c r="K516" t="str">
        <f t="shared" si="31"/>
        <v>White Camera (S)</v>
      </c>
      <c r="L516" t="str">
        <f t="shared" si="28"/>
        <v>Liam</v>
      </c>
      <c r="M516" t="str">
        <f>SUBSTITUTE(Table1[[#This Row],[Raw_Address]], ", ", " - ")</f>
        <v>Charlotte - NC</v>
      </c>
      <c r="N516" t="str">
        <f t="shared" si="29"/>
        <v>Q1-2026</v>
      </c>
      <c r="O516" t="str">
        <f t="shared" si="30"/>
        <v>INV/00513/JAN</v>
      </c>
    </row>
    <row r="517" spans="1:15" x14ac:dyDescent="0.35">
      <c r="A517" s="3" t="s">
        <v>2120</v>
      </c>
      <c r="B517" s="3" t="s">
        <v>1453</v>
      </c>
      <c r="C517" s="3" t="s">
        <v>1431</v>
      </c>
      <c r="D517" s="3" t="s">
        <v>1454</v>
      </c>
      <c r="E517" s="3" t="s">
        <v>1455</v>
      </c>
      <c r="F517" t="s">
        <v>1512</v>
      </c>
      <c r="G517" t="s">
        <v>1513</v>
      </c>
      <c r="H517" s="7">
        <v>46130</v>
      </c>
      <c r="I517" s="7">
        <v>46142</v>
      </c>
      <c r="J517" t="s">
        <v>2553</v>
      </c>
      <c r="K517" t="str">
        <f t="shared" si="31"/>
        <v>Gold Desk Lamp (L)</v>
      </c>
      <c r="L517" t="str">
        <f t="shared" si="28"/>
        <v>Elijah</v>
      </c>
      <c r="M517" t="str">
        <f>SUBSTITUTE(Table1[[#This Row],[Raw_Address]], ", ", " - ")</f>
        <v>Austin - TX</v>
      </c>
      <c r="N517" t="str">
        <f t="shared" si="29"/>
        <v>Q2-2026</v>
      </c>
      <c r="O517" t="str">
        <f t="shared" si="30"/>
        <v>INV/00514/APR</v>
      </c>
    </row>
    <row r="518" spans="1:15" x14ac:dyDescent="0.35">
      <c r="A518" s="3" t="s">
        <v>2121</v>
      </c>
      <c r="B518" s="3" t="s">
        <v>1464</v>
      </c>
      <c r="C518" s="3" t="s">
        <v>18</v>
      </c>
      <c r="D518" s="3" t="s">
        <v>1465</v>
      </c>
      <c r="E518" s="3" t="s">
        <v>1466</v>
      </c>
      <c r="F518" t="s">
        <v>1516</v>
      </c>
      <c r="G518" t="s">
        <v>1517</v>
      </c>
      <c r="H518" s="7">
        <v>46226</v>
      </c>
      <c r="I518" s="7">
        <v>46241</v>
      </c>
      <c r="J518" t="s">
        <v>2554</v>
      </c>
      <c r="K518" t="str">
        <f t="shared" si="31"/>
        <v>White Notebook (XS)</v>
      </c>
      <c r="L518" t="str">
        <f t="shared" si="28"/>
        <v>Lucas</v>
      </c>
      <c r="M518" t="str">
        <f>SUBSTITUTE(Table1[[#This Row],[Raw_Address]], ", ", " - ")</f>
        <v>San Diego - CA</v>
      </c>
      <c r="N518" t="str">
        <f t="shared" si="29"/>
        <v>Q3-2026</v>
      </c>
      <c r="O518" t="str">
        <f t="shared" si="30"/>
        <v>INV/00515/JUL</v>
      </c>
    </row>
    <row r="519" spans="1:15" x14ac:dyDescent="0.35">
      <c r="A519" s="3" t="s">
        <v>2122</v>
      </c>
      <c r="B519" s="3" t="s">
        <v>1474</v>
      </c>
      <c r="C519" s="3" t="s">
        <v>1431</v>
      </c>
      <c r="D519" s="3" t="s">
        <v>1420</v>
      </c>
      <c r="E519" s="3" t="s">
        <v>1475</v>
      </c>
      <c r="F519" t="s">
        <v>1520</v>
      </c>
      <c r="G519" t="s">
        <v>1521</v>
      </c>
      <c r="H519" s="7">
        <v>46323</v>
      </c>
      <c r="I519" s="7">
        <v>46341</v>
      </c>
      <c r="J519" t="s">
        <v>2555</v>
      </c>
      <c r="K519" t="str">
        <f t="shared" si="31"/>
        <v>Gold Power Bank (M)</v>
      </c>
      <c r="L519" t="str">
        <f t="shared" si="28"/>
        <v>Ethan</v>
      </c>
      <c r="M519" t="str">
        <f>SUBSTITUTE(Table1[[#This Row],[Raw_Address]], ", ", " - ")</f>
        <v>Kansas City - MO</v>
      </c>
      <c r="N519" t="str">
        <f t="shared" si="29"/>
        <v>Q4-2026</v>
      </c>
      <c r="O519" t="str">
        <f t="shared" si="30"/>
        <v>INV/00516/OCT</v>
      </c>
    </row>
    <row r="520" spans="1:15" x14ac:dyDescent="0.35">
      <c r="A520" s="3" t="s">
        <v>2123</v>
      </c>
      <c r="B520" s="3" t="s">
        <v>1419</v>
      </c>
      <c r="C520" s="3" t="s">
        <v>18</v>
      </c>
      <c r="D520" s="3" t="s">
        <v>1432</v>
      </c>
      <c r="E520" s="3" t="s">
        <v>1483</v>
      </c>
      <c r="F520" t="s">
        <v>1524</v>
      </c>
      <c r="G520" t="s">
        <v>1525</v>
      </c>
      <c r="H520" s="7">
        <v>46027</v>
      </c>
      <c r="I520" s="7">
        <v>46048</v>
      </c>
      <c r="J520" t="s">
        <v>2550</v>
      </c>
      <c r="K520" t="str">
        <f t="shared" si="31"/>
        <v>White Tablet (XL)</v>
      </c>
      <c r="L520" t="str">
        <f t="shared" si="28"/>
        <v>Evelyn</v>
      </c>
      <c r="M520" t="str">
        <f>SUBSTITUTE(Table1[[#This Row],[Raw_Address]], ", ", " - ")</f>
        <v>Portland - OR</v>
      </c>
      <c r="N520" t="str">
        <f t="shared" si="29"/>
        <v>Q1-2026</v>
      </c>
      <c r="O520" t="str">
        <f t="shared" si="30"/>
        <v>INV/00517/JAN</v>
      </c>
    </row>
    <row r="521" spans="1:15" x14ac:dyDescent="0.35">
      <c r="A521" s="3" t="s">
        <v>2124</v>
      </c>
      <c r="B521" s="3" t="s">
        <v>1430</v>
      </c>
      <c r="C521" s="3" t="s">
        <v>1431</v>
      </c>
      <c r="D521" s="3" t="s">
        <v>1443</v>
      </c>
      <c r="E521" s="3" t="s">
        <v>1487</v>
      </c>
      <c r="F521" t="s">
        <v>1528</v>
      </c>
      <c r="G521" t="s">
        <v>1529</v>
      </c>
      <c r="H521" s="7">
        <v>46122</v>
      </c>
      <c r="I521" s="7">
        <v>46146</v>
      </c>
      <c r="J521" t="s">
        <v>2551</v>
      </c>
      <c r="K521" t="str">
        <f t="shared" si="31"/>
        <v>Gold Mouse (S)</v>
      </c>
      <c r="L521" t="str">
        <f t="shared" si="28"/>
        <v>Scarlett</v>
      </c>
      <c r="M521" t="str">
        <f>SUBSTITUTE(Table1[[#This Row],[Raw_Address]], ", ", " - ")</f>
        <v>Las Vegas - NV</v>
      </c>
      <c r="N521" t="str">
        <f t="shared" si="29"/>
        <v>Q2-2026</v>
      </c>
      <c r="O521" t="str">
        <f t="shared" si="30"/>
        <v>INV/00518/APR</v>
      </c>
    </row>
    <row r="522" spans="1:15" x14ac:dyDescent="0.35">
      <c r="A522" s="3" t="s">
        <v>2125</v>
      </c>
      <c r="B522" s="3" t="s">
        <v>1442</v>
      </c>
      <c r="C522" s="3" t="s">
        <v>18</v>
      </c>
      <c r="D522" s="3" t="s">
        <v>1454</v>
      </c>
      <c r="E522" s="3" t="s">
        <v>1491</v>
      </c>
      <c r="F522" t="s">
        <v>1532</v>
      </c>
      <c r="G522" t="s">
        <v>1533</v>
      </c>
      <c r="H522" s="7">
        <v>46218</v>
      </c>
      <c r="I522" s="7">
        <v>46245</v>
      </c>
      <c r="J522" t="s">
        <v>2552</v>
      </c>
      <c r="K522" t="str">
        <f t="shared" si="31"/>
        <v>White Camera (L)</v>
      </c>
      <c r="L522" t="str">
        <f t="shared" si="28"/>
        <v>Sofia</v>
      </c>
      <c r="M522" t="str">
        <f>SUBSTITUTE(Table1[[#This Row],[Raw_Address]], ", ", " - ")</f>
        <v>Chicago - IL</v>
      </c>
      <c r="N522" t="str">
        <f t="shared" si="29"/>
        <v>Q3-2026</v>
      </c>
      <c r="O522" t="str">
        <f t="shared" si="30"/>
        <v>INV/00519/JUL</v>
      </c>
    </row>
    <row r="523" spans="1:15" x14ac:dyDescent="0.35">
      <c r="A523" s="3" t="s">
        <v>2126</v>
      </c>
      <c r="B523" s="3" t="s">
        <v>1453</v>
      </c>
      <c r="C523" s="3" t="s">
        <v>1431</v>
      </c>
      <c r="D523" s="3" t="s">
        <v>1465</v>
      </c>
      <c r="E523" s="3" t="s">
        <v>1495</v>
      </c>
      <c r="F523" t="s">
        <v>1536</v>
      </c>
      <c r="G523" t="s">
        <v>1537</v>
      </c>
      <c r="H523" s="7">
        <v>46315</v>
      </c>
      <c r="I523" s="7">
        <v>46345</v>
      </c>
      <c r="J523" t="s">
        <v>2553</v>
      </c>
      <c r="K523" t="str">
        <f t="shared" si="31"/>
        <v>Gold Desk Lamp (XS)</v>
      </c>
      <c r="L523" t="str">
        <f t="shared" ref="L523:L577" si="32">REPLACE(F523, 1, FIND(", ", F523) + 1, "")</f>
        <v>Priya</v>
      </c>
      <c r="M523" t="str">
        <f>SUBSTITUTE(Table1[[#This Row],[Raw_Address]], ", ", " - ")</f>
        <v>Detroit - MI</v>
      </c>
      <c r="N523" t="str">
        <f t="shared" ref="N523:N577" si="33">"Q" &amp; ROUNDUP(MONTH(H523)/3, 0) &amp; "-" &amp; YEAR(H523)</f>
        <v>Q4-2026</v>
      </c>
      <c r="O523" t="str">
        <f t="shared" ref="O523:O577" si="34">"INV/" &amp; RIGHT(A523, 5) &amp; "/" &amp; UPPER(TEXT(H523, "mmm"))</f>
        <v>INV/00520/OCT</v>
      </c>
    </row>
    <row r="524" spans="1:15" x14ac:dyDescent="0.35">
      <c r="A524" s="3" t="s">
        <v>2127</v>
      </c>
      <c r="B524" s="3" t="s">
        <v>1464</v>
      </c>
      <c r="C524" s="3" t="s">
        <v>18</v>
      </c>
      <c r="D524" s="3" t="s">
        <v>1420</v>
      </c>
      <c r="E524" s="3" t="s">
        <v>1499</v>
      </c>
      <c r="F524" t="s">
        <v>1540</v>
      </c>
      <c r="G524" t="s">
        <v>1423</v>
      </c>
      <c r="H524" s="7">
        <v>46047</v>
      </c>
      <c r="I524" s="7">
        <v>46050</v>
      </c>
      <c r="J524" t="s">
        <v>2554</v>
      </c>
      <c r="K524" t="str">
        <f t="shared" ref="K524:K577" si="35">C524 &amp; " " &amp; B524 &amp; " (" &amp; D524 &amp; ")"</f>
        <v>White Notebook (M)</v>
      </c>
      <c r="L524" t="str">
        <f t="shared" si="32"/>
        <v>Kabir</v>
      </c>
      <c r="M524" t="str">
        <f>SUBSTITUTE(Table1[[#This Row],[Raw_Address]], ", ", " - ")</f>
        <v>Boston - MA</v>
      </c>
      <c r="N524" t="str">
        <f t="shared" si="33"/>
        <v>Q1-2026</v>
      </c>
      <c r="O524" t="str">
        <f t="shared" si="34"/>
        <v>INV/00521/JAN</v>
      </c>
    </row>
    <row r="525" spans="1:15" x14ac:dyDescent="0.35">
      <c r="A525" s="3" t="s">
        <v>2128</v>
      </c>
      <c r="B525" s="3" t="s">
        <v>1474</v>
      </c>
      <c r="C525" s="3" t="s">
        <v>1431</v>
      </c>
      <c r="D525" s="3" t="s">
        <v>1432</v>
      </c>
      <c r="E525" s="3" t="s">
        <v>1503</v>
      </c>
      <c r="F525" t="s">
        <v>1543</v>
      </c>
      <c r="G525" t="s">
        <v>1435</v>
      </c>
      <c r="H525" s="7">
        <v>46114</v>
      </c>
      <c r="I525" s="7">
        <v>46120</v>
      </c>
      <c r="J525" t="s">
        <v>2555</v>
      </c>
      <c r="K525" t="str">
        <f t="shared" si="35"/>
        <v>Gold Power Bank (XL)</v>
      </c>
      <c r="L525" t="str">
        <f t="shared" si="32"/>
        <v>Fatima</v>
      </c>
      <c r="M525" t="str">
        <f>SUBSTITUTE(Table1[[#This Row],[Raw_Address]], ", ", " - ")</f>
        <v>Columbus - OH</v>
      </c>
      <c r="N525" t="str">
        <f t="shared" si="33"/>
        <v>Q2-2026</v>
      </c>
      <c r="O525" t="str">
        <f t="shared" si="34"/>
        <v>INV/00522/APR</v>
      </c>
    </row>
    <row r="526" spans="1:15" x14ac:dyDescent="0.35">
      <c r="A526" s="3" t="s">
        <v>2129</v>
      </c>
      <c r="B526" s="3" t="s">
        <v>1419</v>
      </c>
      <c r="C526" s="3" t="s">
        <v>18</v>
      </c>
      <c r="D526" s="3" t="s">
        <v>1443</v>
      </c>
      <c r="E526" s="3" t="s">
        <v>1507</v>
      </c>
      <c r="F526" t="s">
        <v>1546</v>
      </c>
      <c r="G526" t="s">
        <v>1446</v>
      </c>
      <c r="H526" s="7">
        <v>46210</v>
      </c>
      <c r="I526" s="7">
        <v>46219</v>
      </c>
      <c r="J526" t="s">
        <v>2550</v>
      </c>
      <c r="K526" t="str">
        <f t="shared" si="35"/>
        <v>White Tablet (S)</v>
      </c>
      <c r="L526" t="str">
        <f t="shared" si="32"/>
        <v>Grace</v>
      </c>
      <c r="M526" t="str">
        <f>SUBSTITUTE(Table1[[#This Row],[Raw_Address]], ", ", " - ")</f>
        <v>Denver - CO</v>
      </c>
      <c r="N526" t="str">
        <f t="shared" si="33"/>
        <v>Q3-2026</v>
      </c>
      <c r="O526" t="str">
        <f t="shared" si="34"/>
        <v>INV/00523/JUL</v>
      </c>
    </row>
    <row r="527" spans="1:15" x14ac:dyDescent="0.35">
      <c r="A527" s="3" t="s">
        <v>2130</v>
      </c>
      <c r="B527" s="3" t="s">
        <v>1430</v>
      </c>
      <c r="C527" s="3" t="s">
        <v>1431</v>
      </c>
      <c r="D527" s="3" t="s">
        <v>1454</v>
      </c>
      <c r="E527" s="3" t="s">
        <v>1511</v>
      </c>
      <c r="F527" t="s">
        <v>1549</v>
      </c>
      <c r="G527" t="s">
        <v>1457</v>
      </c>
      <c r="H527" s="7">
        <v>46307</v>
      </c>
      <c r="I527" s="7">
        <v>46319</v>
      </c>
      <c r="J527" t="s">
        <v>2551</v>
      </c>
      <c r="K527" t="str">
        <f t="shared" si="35"/>
        <v>Gold Mouse (L)</v>
      </c>
      <c r="L527" t="str">
        <f t="shared" si="32"/>
        <v>David</v>
      </c>
      <c r="M527" t="str">
        <f>SUBSTITUTE(Table1[[#This Row],[Raw_Address]], ", ", " - ")</f>
        <v>Dallas - TX</v>
      </c>
      <c r="N527" t="str">
        <f t="shared" si="33"/>
        <v>Q4-2026</v>
      </c>
      <c r="O527" t="str">
        <f t="shared" si="34"/>
        <v>INV/00524/OCT</v>
      </c>
    </row>
    <row r="528" spans="1:15" x14ac:dyDescent="0.35">
      <c r="A528" s="3" t="s">
        <v>2131</v>
      </c>
      <c r="B528" s="3" t="s">
        <v>1442</v>
      </c>
      <c r="C528" s="3" t="s">
        <v>18</v>
      </c>
      <c r="D528" s="3" t="s">
        <v>1465</v>
      </c>
      <c r="E528" s="3" t="s">
        <v>1515</v>
      </c>
      <c r="F528" t="s">
        <v>1552</v>
      </c>
      <c r="G528" t="s">
        <v>1468</v>
      </c>
      <c r="H528" s="7">
        <v>46039</v>
      </c>
      <c r="I528" s="7">
        <v>46054</v>
      </c>
      <c r="J528" t="s">
        <v>2552</v>
      </c>
      <c r="K528" t="str">
        <f t="shared" si="35"/>
        <v>White Camera (XS)</v>
      </c>
      <c r="L528" t="str">
        <f t="shared" si="32"/>
        <v>Anaya</v>
      </c>
      <c r="M528" t="str">
        <f>SUBSTITUTE(Table1[[#This Row],[Raw_Address]], ", ", " - ")</f>
        <v>Seattle - WA</v>
      </c>
      <c r="N528" t="str">
        <f t="shared" si="33"/>
        <v>Q1-2026</v>
      </c>
      <c r="O528" t="str">
        <f t="shared" si="34"/>
        <v>INV/00525/JAN</v>
      </c>
    </row>
    <row r="529" spans="1:15" x14ac:dyDescent="0.35">
      <c r="A529" s="3" t="s">
        <v>2132</v>
      </c>
      <c r="B529" s="3" t="s">
        <v>1453</v>
      </c>
      <c r="C529" s="3" t="s">
        <v>1431</v>
      </c>
      <c r="D529" s="3" t="s">
        <v>1420</v>
      </c>
      <c r="E529" s="3" t="s">
        <v>1519</v>
      </c>
      <c r="F529" t="s">
        <v>1555</v>
      </c>
      <c r="G529" t="s">
        <v>1477</v>
      </c>
      <c r="H529" s="7">
        <v>46134</v>
      </c>
      <c r="I529" s="7">
        <v>46152</v>
      </c>
      <c r="J529" t="s">
        <v>2553</v>
      </c>
      <c r="K529" t="str">
        <f t="shared" si="35"/>
        <v>Gold Desk Lamp (M)</v>
      </c>
      <c r="L529" t="str">
        <f t="shared" si="32"/>
        <v>Emma</v>
      </c>
      <c r="M529" t="str">
        <f>SUBSTITUTE(Table1[[#This Row],[Raw_Address]], ", ", " - ")</f>
        <v>Nashville - TN</v>
      </c>
      <c r="N529" t="str">
        <f t="shared" si="33"/>
        <v>Q2-2026</v>
      </c>
      <c r="O529" t="str">
        <f t="shared" si="34"/>
        <v>INV/00526/APR</v>
      </c>
    </row>
    <row r="530" spans="1:15" x14ac:dyDescent="0.35">
      <c r="A530" s="3" t="s">
        <v>2133</v>
      </c>
      <c r="B530" s="3" t="s">
        <v>1464</v>
      </c>
      <c r="C530" s="3" t="s">
        <v>18</v>
      </c>
      <c r="D530" s="3" t="s">
        <v>1432</v>
      </c>
      <c r="E530" s="3" t="s">
        <v>1523</v>
      </c>
      <c r="F530" t="s">
        <v>1558</v>
      </c>
      <c r="G530" t="s">
        <v>1485</v>
      </c>
      <c r="H530" s="7">
        <v>46230</v>
      </c>
      <c r="I530" s="7">
        <v>46251</v>
      </c>
      <c r="J530" t="s">
        <v>2554</v>
      </c>
      <c r="K530" t="str">
        <f t="shared" si="35"/>
        <v>White Notebook (XL)</v>
      </c>
      <c r="L530" t="str">
        <f t="shared" si="32"/>
        <v>Mason</v>
      </c>
      <c r="M530" t="str">
        <f>SUBSTITUTE(Table1[[#This Row],[Raw_Address]], ", ", " - ")</f>
        <v>Minneapolis - MN</v>
      </c>
      <c r="N530" t="str">
        <f t="shared" si="33"/>
        <v>Q3-2026</v>
      </c>
      <c r="O530" t="str">
        <f t="shared" si="34"/>
        <v>INV/00527/JUL</v>
      </c>
    </row>
    <row r="531" spans="1:15" x14ac:dyDescent="0.35">
      <c r="A531" s="3" t="s">
        <v>2134</v>
      </c>
      <c r="B531" s="3" t="s">
        <v>1474</v>
      </c>
      <c r="C531" s="3" t="s">
        <v>1431</v>
      </c>
      <c r="D531" s="3" t="s">
        <v>1443</v>
      </c>
      <c r="E531" s="3" t="s">
        <v>1527</v>
      </c>
      <c r="F531" t="s">
        <v>1561</v>
      </c>
      <c r="G531" t="s">
        <v>1489</v>
      </c>
      <c r="H531" s="7">
        <v>46299</v>
      </c>
      <c r="I531" s="7">
        <v>46323</v>
      </c>
      <c r="J531" t="s">
        <v>2555</v>
      </c>
      <c r="K531" t="str">
        <f t="shared" si="35"/>
        <v>Gold Power Bank (S)</v>
      </c>
      <c r="L531" t="str">
        <f t="shared" si="32"/>
        <v>Amelia</v>
      </c>
      <c r="M531" t="str">
        <f>SUBSTITUTE(Table1[[#This Row],[Raw_Address]], ", ", " - ")</f>
        <v>Atlanta - GA</v>
      </c>
      <c r="N531" t="str">
        <f t="shared" si="33"/>
        <v>Q4-2026</v>
      </c>
      <c r="O531" t="str">
        <f t="shared" si="34"/>
        <v>INV/00528/OCT</v>
      </c>
    </row>
    <row r="532" spans="1:15" x14ac:dyDescent="0.35">
      <c r="A532" s="3" t="s">
        <v>2135</v>
      </c>
      <c r="B532" s="3" t="s">
        <v>1419</v>
      </c>
      <c r="C532" s="3" t="s">
        <v>18</v>
      </c>
      <c r="D532" s="3" t="s">
        <v>1454</v>
      </c>
      <c r="E532" s="3" t="s">
        <v>1531</v>
      </c>
      <c r="F532" t="s">
        <v>1564</v>
      </c>
      <c r="G532" t="s">
        <v>1493</v>
      </c>
      <c r="H532" s="7">
        <v>46031</v>
      </c>
      <c r="I532" s="7">
        <v>46058</v>
      </c>
      <c r="J532" t="s">
        <v>2550</v>
      </c>
      <c r="K532" t="str">
        <f t="shared" si="35"/>
        <v>White Tablet (L)</v>
      </c>
      <c r="L532" t="str">
        <f t="shared" si="32"/>
        <v>Charlotte</v>
      </c>
      <c r="M532" t="str">
        <f>SUBSTITUTE(Table1[[#This Row],[Raw_Address]], ", ", " - ")</f>
        <v>Tampa - FL</v>
      </c>
      <c r="N532" t="str">
        <f t="shared" si="33"/>
        <v>Q1-2026</v>
      </c>
      <c r="O532" t="str">
        <f t="shared" si="34"/>
        <v>INV/00529/JAN</v>
      </c>
    </row>
    <row r="533" spans="1:15" x14ac:dyDescent="0.35">
      <c r="A533" s="3" t="s">
        <v>2136</v>
      </c>
      <c r="B533" s="3" t="s">
        <v>1430</v>
      </c>
      <c r="C533" s="3" t="s">
        <v>1431</v>
      </c>
      <c r="D533" s="3" t="s">
        <v>1465</v>
      </c>
      <c r="E533" s="3" t="s">
        <v>1535</v>
      </c>
      <c r="F533" t="s">
        <v>1567</v>
      </c>
      <c r="G533" t="s">
        <v>1497</v>
      </c>
      <c r="H533" s="7">
        <v>46126</v>
      </c>
      <c r="I533" s="7">
        <v>46156</v>
      </c>
      <c r="J533" t="s">
        <v>2551</v>
      </c>
      <c r="K533" t="str">
        <f t="shared" si="35"/>
        <v>Gold Mouse (XS)</v>
      </c>
      <c r="L533" t="str">
        <f t="shared" si="32"/>
        <v>Henry</v>
      </c>
      <c r="M533" t="str">
        <f>SUBSTITUTE(Table1[[#This Row],[Raw_Address]], ", ", " - ")</f>
        <v>Phoenix - AZ</v>
      </c>
      <c r="N533" t="str">
        <f t="shared" si="33"/>
        <v>Q2-2026</v>
      </c>
      <c r="O533" t="str">
        <f t="shared" si="34"/>
        <v>INV/00530/APR</v>
      </c>
    </row>
    <row r="534" spans="1:15" x14ac:dyDescent="0.35">
      <c r="A534" s="3" t="s">
        <v>2137</v>
      </c>
      <c r="B534" s="3" t="s">
        <v>1442</v>
      </c>
      <c r="C534" s="3" t="s">
        <v>18</v>
      </c>
      <c r="D534" s="3" t="s">
        <v>1420</v>
      </c>
      <c r="E534" s="3" t="s">
        <v>1539</v>
      </c>
      <c r="F534" t="s">
        <v>1569</v>
      </c>
      <c r="G534" t="s">
        <v>1501</v>
      </c>
      <c r="H534" s="7">
        <v>46222</v>
      </c>
      <c r="I534" s="7">
        <v>46225</v>
      </c>
      <c r="J534" t="s">
        <v>2552</v>
      </c>
      <c r="K534" t="str">
        <f t="shared" si="35"/>
        <v>White Camera (M)</v>
      </c>
      <c r="L534" t="str">
        <f t="shared" si="32"/>
        <v>Michael</v>
      </c>
      <c r="M534" t="str">
        <f>SUBSTITUTE(Table1[[#This Row],[Raw_Address]], ", ", " - ")</f>
        <v>Raleigh - NC</v>
      </c>
      <c r="N534" t="str">
        <f t="shared" si="33"/>
        <v>Q3-2026</v>
      </c>
      <c r="O534" t="str">
        <f t="shared" si="34"/>
        <v>INV/00531/JUL</v>
      </c>
    </row>
    <row r="535" spans="1:15" x14ac:dyDescent="0.35">
      <c r="A535" s="3" t="s">
        <v>2138</v>
      </c>
      <c r="B535" s="3" t="s">
        <v>1453</v>
      </c>
      <c r="C535" s="3" t="s">
        <v>1431</v>
      </c>
      <c r="D535" s="3" t="s">
        <v>1432</v>
      </c>
      <c r="E535" s="3" t="s">
        <v>1542</v>
      </c>
      <c r="F535" t="s">
        <v>1571</v>
      </c>
      <c r="G535" t="s">
        <v>1505</v>
      </c>
      <c r="H535" s="7">
        <v>46319</v>
      </c>
      <c r="I535" s="7">
        <v>46325</v>
      </c>
      <c r="J535" t="s">
        <v>2553</v>
      </c>
      <c r="K535" t="str">
        <f t="shared" si="35"/>
        <v>Gold Desk Lamp (XL)</v>
      </c>
      <c r="L535" t="str">
        <f t="shared" si="32"/>
        <v>Mateo</v>
      </c>
      <c r="M535" t="str">
        <f>SUBSTITUTE(Table1[[#This Row],[Raw_Address]], ", ", " - ")</f>
        <v>Miami - FL</v>
      </c>
      <c r="N535" t="str">
        <f t="shared" si="33"/>
        <v>Q4-2026</v>
      </c>
      <c r="O535" t="str">
        <f t="shared" si="34"/>
        <v>INV/00532/OCT</v>
      </c>
    </row>
    <row r="536" spans="1:15" x14ac:dyDescent="0.35">
      <c r="A536" s="3" t="s">
        <v>2139</v>
      </c>
      <c r="B536" s="3" t="s">
        <v>1464</v>
      </c>
      <c r="C536" s="3" t="s">
        <v>18</v>
      </c>
      <c r="D536" s="3" t="s">
        <v>1443</v>
      </c>
      <c r="E536" s="3" t="s">
        <v>1545</v>
      </c>
      <c r="F536" t="s">
        <v>1573</v>
      </c>
      <c r="G536" t="s">
        <v>1509</v>
      </c>
      <c r="H536" s="7">
        <v>46023</v>
      </c>
      <c r="I536" s="7">
        <v>46032</v>
      </c>
      <c r="J536" t="s">
        <v>2554</v>
      </c>
      <c r="K536" t="str">
        <f t="shared" si="35"/>
        <v>White Notebook (S)</v>
      </c>
      <c r="L536" t="str">
        <f t="shared" si="32"/>
        <v>Sana</v>
      </c>
      <c r="M536" t="str">
        <f>SUBSTITUTE(Table1[[#This Row],[Raw_Address]], ", ", " - ")</f>
        <v>Charlotte - NC</v>
      </c>
      <c r="N536" t="str">
        <f t="shared" si="33"/>
        <v>Q1-2026</v>
      </c>
      <c r="O536" t="str">
        <f t="shared" si="34"/>
        <v>INV/00533/JAN</v>
      </c>
    </row>
    <row r="537" spans="1:15" x14ac:dyDescent="0.35">
      <c r="A537" s="3" t="s">
        <v>2140</v>
      </c>
      <c r="B537" s="3" t="s">
        <v>1474</v>
      </c>
      <c r="C537" s="3" t="s">
        <v>1431</v>
      </c>
      <c r="D537" s="3" t="s">
        <v>1454</v>
      </c>
      <c r="E537" s="3" t="s">
        <v>1548</v>
      </c>
      <c r="F537" t="s">
        <v>1575</v>
      </c>
      <c r="G537" t="s">
        <v>1513</v>
      </c>
      <c r="H537" s="7">
        <v>46118</v>
      </c>
      <c r="I537" s="7">
        <v>46130</v>
      </c>
      <c r="J537" t="s">
        <v>2555</v>
      </c>
      <c r="K537" t="str">
        <f t="shared" si="35"/>
        <v>Gold Power Bank (L)</v>
      </c>
      <c r="L537" t="str">
        <f t="shared" si="32"/>
        <v>Omar</v>
      </c>
      <c r="M537" t="str">
        <f>SUBSTITUTE(Table1[[#This Row],[Raw_Address]], ", ", " - ")</f>
        <v>Austin - TX</v>
      </c>
      <c r="N537" t="str">
        <f t="shared" si="33"/>
        <v>Q2-2026</v>
      </c>
      <c r="O537" t="str">
        <f t="shared" si="34"/>
        <v>INV/00534/APR</v>
      </c>
    </row>
    <row r="538" spans="1:15" x14ac:dyDescent="0.35">
      <c r="A538" s="3" t="s">
        <v>2141</v>
      </c>
      <c r="B538" s="3" t="s">
        <v>1419</v>
      </c>
      <c r="C538" s="3" t="s">
        <v>18</v>
      </c>
      <c r="D538" s="3" t="s">
        <v>1465</v>
      </c>
      <c r="E538" s="3" t="s">
        <v>1551</v>
      </c>
      <c r="F538" t="s">
        <v>1577</v>
      </c>
      <c r="G538" t="s">
        <v>1517</v>
      </c>
      <c r="H538" s="7">
        <v>46214</v>
      </c>
      <c r="I538" s="7">
        <v>46229</v>
      </c>
      <c r="J538" t="s">
        <v>2550</v>
      </c>
      <c r="K538" t="str">
        <f t="shared" si="35"/>
        <v>White Tablet (XS)</v>
      </c>
      <c r="L538" t="str">
        <f t="shared" si="32"/>
        <v>Nina</v>
      </c>
      <c r="M538" t="str">
        <f>SUBSTITUTE(Table1[[#This Row],[Raw_Address]], ", ", " - ")</f>
        <v>San Diego - CA</v>
      </c>
      <c r="N538" t="str">
        <f t="shared" si="33"/>
        <v>Q3-2026</v>
      </c>
      <c r="O538" t="str">
        <f t="shared" si="34"/>
        <v>INV/00535/JUL</v>
      </c>
    </row>
    <row r="539" spans="1:15" x14ac:dyDescent="0.35">
      <c r="A539" s="3" t="s">
        <v>2142</v>
      </c>
      <c r="B539" s="3" t="s">
        <v>1430</v>
      </c>
      <c r="C539" s="3" t="s">
        <v>1431</v>
      </c>
      <c r="D539" s="3" t="s">
        <v>1420</v>
      </c>
      <c r="E539" s="3" t="s">
        <v>1554</v>
      </c>
      <c r="F539" t="s">
        <v>1579</v>
      </c>
      <c r="G539" t="s">
        <v>1521</v>
      </c>
      <c r="H539" s="7">
        <v>46311</v>
      </c>
      <c r="I539" s="7">
        <v>46329</v>
      </c>
      <c r="J539" t="s">
        <v>2551</v>
      </c>
      <c r="K539" t="str">
        <f t="shared" si="35"/>
        <v>Gold Mouse (M)</v>
      </c>
      <c r="L539" t="str">
        <f t="shared" si="32"/>
        <v>Jack</v>
      </c>
      <c r="M539" t="str">
        <f>SUBSTITUTE(Table1[[#This Row],[Raw_Address]], ", ", " - ")</f>
        <v>Kansas City - MO</v>
      </c>
      <c r="N539" t="str">
        <f t="shared" si="33"/>
        <v>Q4-2026</v>
      </c>
      <c r="O539" t="str">
        <f t="shared" si="34"/>
        <v>INV/00536/OCT</v>
      </c>
    </row>
    <row r="540" spans="1:15" x14ac:dyDescent="0.35">
      <c r="A540" s="3" t="s">
        <v>2143</v>
      </c>
      <c r="B540" s="3" t="s">
        <v>1442</v>
      </c>
      <c r="C540" s="3" t="s">
        <v>18</v>
      </c>
      <c r="D540" s="3" t="s">
        <v>1432</v>
      </c>
      <c r="E540" s="3" t="s">
        <v>1557</v>
      </c>
      <c r="F540" t="s">
        <v>1581</v>
      </c>
      <c r="G540" t="s">
        <v>1525</v>
      </c>
      <c r="H540" s="7">
        <v>46043</v>
      </c>
      <c r="I540" s="7">
        <v>46064</v>
      </c>
      <c r="J540" t="s">
        <v>2552</v>
      </c>
      <c r="K540" t="str">
        <f t="shared" si="35"/>
        <v>White Camera (XL)</v>
      </c>
      <c r="L540" t="str">
        <f t="shared" si="32"/>
        <v>Victor</v>
      </c>
      <c r="M540" t="str">
        <f>SUBSTITUTE(Table1[[#This Row],[Raw_Address]], ", ", " - ")</f>
        <v>Portland - OR</v>
      </c>
      <c r="N540" t="str">
        <f t="shared" si="33"/>
        <v>Q1-2026</v>
      </c>
      <c r="O540" t="str">
        <f t="shared" si="34"/>
        <v>INV/00537/JAN</v>
      </c>
    </row>
    <row r="541" spans="1:15" x14ac:dyDescent="0.35">
      <c r="A541" s="3" t="s">
        <v>2144</v>
      </c>
      <c r="B541" s="3" t="s">
        <v>1453</v>
      </c>
      <c r="C541" s="3" t="s">
        <v>1431</v>
      </c>
      <c r="D541" s="3" t="s">
        <v>1443</v>
      </c>
      <c r="E541" s="3" t="s">
        <v>1560</v>
      </c>
      <c r="F541" t="s">
        <v>1583</v>
      </c>
      <c r="G541" t="s">
        <v>1529</v>
      </c>
      <c r="H541" s="7">
        <v>46138</v>
      </c>
      <c r="I541" s="7">
        <v>46162</v>
      </c>
      <c r="J541" t="s">
        <v>2553</v>
      </c>
      <c r="K541" t="str">
        <f t="shared" si="35"/>
        <v>Gold Desk Lamp (S)</v>
      </c>
      <c r="L541" t="str">
        <f t="shared" si="32"/>
        <v>Liam</v>
      </c>
      <c r="M541" t="str">
        <f>SUBSTITUTE(Table1[[#This Row],[Raw_Address]], ", ", " - ")</f>
        <v>Las Vegas - NV</v>
      </c>
      <c r="N541" t="str">
        <f t="shared" si="33"/>
        <v>Q2-2026</v>
      </c>
      <c r="O541" t="str">
        <f t="shared" si="34"/>
        <v>INV/00538/APR</v>
      </c>
    </row>
    <row r="542" spans="1:15" x14ac:dyDescent="0.35">
      <c r="A542" s="3" t="s">
        <v>2145</v>
      </c>
      <c r="B542" s="3" t="s">
        <v>1464</v>
      </c>
      <c r="C542" s="3" t="s">
        <v>18</v>
      </c>
      <c r="D542" s="3" t="s">
        <v>1454</v>
      </c>
      <c r="E542" s="3" t="s">
        <v>1563</v>
      </c>
      <c r="F542" t="s">
        <v>1585</v>
      </c>
      <c r="G542" t="s">
        <v>1533</v>
      </c>
      <c r="H542" s="7">
        <v>46206</v>
      </c>
      <c r="I542" s="7">
        <v>46233</v>
      </c>
      <c r="J542" t="s">
        <v>2554</v>
      </c>
      <c r="K542" t="str">
        <f t="shared" si="35"/>
        <v>White Notebook (L)</v>
      </c>
      <c r="L542" t="str">
        <f t="shared" si="32"/>
        <v>Elijah</v>
      </c>
      <c r="M542" t="str">
        <f>SUBSTITUTE(Table1[[#This Row],[Raw_Address]], ", ", " - ")</f>
        <v>Chicago - IL</v>
      </c>
      <c r="N542" t="str">
        <f t="shared" si="33"/>
        <v>Q3-2026</v>
      </c>
      <c r="O542" t="str">
        <f t="shared" si="34"/>
        <v>INV/00539/JUL</v>
      </c>
    </row>
    <row r="543" spans="1:15" x14ac:dyDescent="0.35">
      <c r="A543" s="3" t="s">
        <v>2146</v>
      </c>
      <c r="B543" s="3" t="s">
        <v>1474</v>
      </c>
      <c r="C543" s="3" t="s">
        <v>1431</v>
      </c>
      <c r="D543" s="3" t="s">
        <v>1465</v>
      </c>
      <c r="E543" s="3" t="s">
        <v>1566</v>
      </c>
      <c r="F543" t="s">
        <v>1587</v>
      </c>
      <c r="G543" t="s">
        <v>1537</v>
      </c>
      <c r="H543" s="7">
        <v>46303</v>
      </c>
      <c r="I543" s="7">
        <v>46333</v>
      </c>
      <c r="J543" t="s">
        <v>2555</v>
      </c>
      <c r="K543" t="str">
        <f t="shared" si="35"/>
        <v>Gold Power Bank (XS)</v>
      </c>
      <c r="L543" t="str">
        <f t="shared" si="32"/>
        <v>Lucas</v>
      </c>
      <c r="M543" t="str">
        <f>SUBSTITUTE(Table1[[#This Row],[Raw_Address]], ", ", " - ")</f>
        <v>Detroit - MI</v>
      </c>
      <c r="N543" t="str">
        <f t="shared" si="33"/>
        <v>Q4-2026</v>
      </c>
      <c r="O543" t="str">
        <f t="shared" si="34"/>
        <v>INV/00540/OCT</v>
      </c>
    </row>
    <row r="544" spans="1:15" x14ac:dyDescent="0.35">
      <c r="A544" s="3" t="s">
        <v>2147</v>
      </c>
      <c r="B544" s="3" t="s">
        <v>1419</v>
      </c>
      <c r="C544" s="3" t="s">
        <v>18</v>
      </c>
      <c r="D544" s="3" t="s">
        <v>1420</v>
      </c>
      <c r="E544" s="3" t="s">
        <v>1421</v>
      </c>
      <c r="F544" t="s">
        <v>1589</v>
      </c>
      <c r="G544" t="s">
        <v>1423</v>
      </c>
      <c r="H544" s="7">
        <v>46035</v>
      </c>
      <c r="I544" s="7">
        <v>46038</v>
      </c>
      <c r="J544" t="s">
        <v>2550</v>
      </c>
      <c r="K544" t="str">
        <f t="shared" si="35"/>
        <v>White Tablet (M)</v>
      </c>
      <c r="L544" t="str">
        <f t="shared" si="32"/>
        <v>Ethan</v>
      </c>
      <c r="M544" t="str">
        <f>SUBSTITUTE(Table1[[#This Row],[Raw_Address]], ", ", " - ")</f>
        <v>Boston - MA</v>
      </c>
      <c r="N544" t="str">
        <f t="shared" si="33"/>
        <v>Q1-2026</v>
      </c>
      <c r="O544" t="str">
        <f t="shared" si="34"/>
        <v>INV/00541/JAN</v>
      </c>
    </row>
    <row r="545" spans="1:15" x14ac:dyDescent="0.35">
      <c r="A545" s="3" t="s">
        <v>2148</v>
      </c>
      <c r="B545" s="3" t="s">
        <v>1430</v>
      </c>
      <c r="C545" s="3" t="s">
        <v>1431</v>
      </c>
      <c r="D545" s="3" t="s">
        <v>1432</v>
      </c>
      <c r="E545" s="3" t="s">
        <v>1433</v>
      </c>
      <c r="F545" t="s">
        <v>1591</v>
      </c>
      <c r="G545" t="s">
        <v>1435</v>
      </c>
      <c r="H545" s="7">
        <v>46130</v>
      </c>
      <c r="I545" s="7">
        <v>46136</v>
      </c>
      <c r="J545" t="s">
        <v>2551</v>
      </c>
      <c r="K545" t="str">
        <f t="shared" si="35"/>
        <v>Gold Mouse (XL)</v>
      </c>
      <c r="L545" t="str">
        <f t="shared" si="32"/>
        <v>Evelyn</v>
      </c>
      <c r="M545" t="str">
        <f>SUBSTITUTE(Table1[[#This Row],[Raw_Address]], ", ", " - ")</f>
        <v>Columbus - OH</v>
      </c>
      <c r="N545" t="str">
        <f t="shared" si="33"/>
        <v>Q2-2026</v>
      </c>
      <c r="O545" t="str">
        <f t="shared" si="34"/>
        <v>INV/00542/APR</v>
      </c>
    </row>
    <row r="546" spans="1:15" x14ac:dyDescent="0.35">
      <c r="A546" s="3" t="s">
        <v>2149</v>
      </c>
      <c r="B546" s="3" t="s">
        <v>1442</v>
      </c>
      <c r="C546" s="3" t="s">
        <v>18</v>
      </c>
      <c r="D546" s="3" t="s">
        <v>1443</v>
      </c>
      <c r="E546" s="3" t="s">
        <v>1444</v>
      </c>
      <c r="F546" t="s">
        <v>1593</v>
      </c>
      <c r="G546" t="s">
        <v>1446</v>
      </c>
      <c r="H546" s="7">
        <v>46226</v>
      </c>
      <c r="I546" s="7">
        <v>46235</v>
      </c>
      <c r="J546" t="s">
        <v>2552</v>
      </c>
      <c r="K546" t="str">
        <f t="shared" si="35"/>
        <v>White Camera (S)</v>
      </c>
      <c r="L546" t="str">
        <f t="shared" si="32"/>
        <v>Scarlett</v>
      </c>
      <c r="M546" t="str">
        <f>SUBSTITUTE(Table1[[#This Row],[Raw_Address]], ", ", " - ")</f>
        <v>Denver - CO</v>
      </c>
      <c r="N546" t="str">
        <f t="shared" si="33"/>
        <v>Q3-2026</v>
      </c>
      <c r="O546" t="str">
        <f t="shared" si="34"/>
        <v>INV/00543/JUL</v>
      </c>
    </row>
    <row r="547" spans="1:15" x14ac:dyDescent="0.35">
      <c r="A547" s="3" t="s">
        <v>2150</v>
      </c>
      <c r="B547" s="3" t="s">
        <v>1453</v>
      </c>
      <c r="C547" s="3" t="s">
        <v>1431</v>
      </c>
      <c r="D547" s="3" t="s">
        <v>1454</v>
      </c>
      <c r="E547" s="3" t="s">
        <v>1455</v>
      </c>
      <c r="F547" t="s">
        <v>1595</v>
      </c>
      <c r="G547" t="s">
        <v>1457</v>
      </c>
      <c r="H547" s="7">
        <v>46323</v>
      </c>
      <c r="I547" s="7">
        <v>46335</v>
      </c>
      <c r="J547" t="s">
        <v>2553</v>
      </c>
      <c r="K547" t="str">
        <f t="shared" si="35"/>
        <v>Gold Desk Lamp (L)</v>
      </c>
      <c r="L547" t="str">
        <f t="shared" si="32"/>
        <v>Sofia</v>
      </c>
      <c r="M547" t="str">
        <f>SUBSTITUTE(Table1[[#This Row],[Raw_Address]], ", ", " - ")</f>
        <v>Dallas - TX</v>
      </c>
      <c r="N547" t="str">
        <f t="shared" si="33"/>
        <v>Q4-2026</v>
      </c>
      <c r="O547" t="str">
        <f t="shared" si="34"/>
        <v>INV/00544/OCT</v>
      </c>
    </row>
    <row r="548" spans="1:15" x14ac:dyDescent="0.35">
      <c r="A548" s="3" t="s">
        <v>2151</v>
      </c>
      <c r="B548" s="3" t="s">
        <v>1464</v>
      </c>
      <c r="C548" s="3" t="s">
        <v>18</v>
      </c>
      <c r="D548" s="3" t="s">
        <v>1465</v>
      </c>
      <c r="E548" s="3" t="s">
        <v>1466</v>
      </c>
      <c r="F548" t="s">
        <v>1597</v>
      </c>
      <c r="G548" t="s">
        <v>1468</v>
      </c>
      <c r="H548" s="7">
        <v>46027</v>
      </c>
      <c r="I548" s="7">
        <v>46042</v>
      </c>
      <c r="J548" t="s">
        <v>2554</v>
      </c>
      <c r="K548" t="str">
        <f t="shared" si="35"/>
        <v>White Notebook (XS)</v>
      </c>
      <c r="L548" t="str">
        <f t="shared" si="32"/>
        <v>Priya</v>
      </c>
      <c r="M548" t="str">
        <f>SUBSTITUTE(Table1[[#This Row],[Raw_Address]], ", ", " - ")</f>
        <v>Seattle - WA</v>
      </c>
      <c r="N548" t="str">
        <f t="shared" si="33"/>
        <v>Q1-2026</v>
      </c>
      <c r="O548" t="str">
        <f t="shared" si="34"/>
        <v>INV/00545/JAN</v>
      </c>
    </row>
    <row r="549" spans="1:15" x14ac:dyDescent="0.35">
      <c r="A549" s="3" t="s">
        <v>2152</v>
      </c>
      <c r="B549" s="3" t="s">
        <v>1474</v>
      </c>
      <c r="C549" s="3" t="s">
        <v>1431</v>
      </c>
      <c r="D549" s="3" t="s">
        <v>1420</v>
      </c>
      <c r="E549" s="3" t="s">
        <v>1475</v>
      </c>
      <c r="F549" t="s">
        <v>1599</v>
      </c>
      <c r="G549" t="s">
        <v>1477</v>
      </c>
      <c r="H549" s="7">
        <v>46122</v>
      </c>
      <c r="I549" s="7">
        <v>46140</v>
      </c>
      <c r="J549" t="s">
        <v>2555</v>
      </c>
      <c r="K549" t="str">
        <f t="shared" si="35"/>
        <v>Gold Power Bank (M)</v>
      </c>
      <c r="L549" t="str">
        <f t="shared" si="32"/>
        <v>Kabir</v>
      </c>
      <c r="M549" t="str">
        <f>SUBSTITUTE(Table1[[#This Row],[Raw_Address]], ", ", " - ")</f>
        <v>Nashville - TN</v>
      </c>
      <c r="N549" t="str">
        <f t="shared" si="33"/>
        <v>Q2-2026</v>
      </c>
      <c r="O549" t="str">
        <f t="shared" si="34"/>
        <v>INV/00546/APR</v>
      </c>
    </row>
    <row r="550" spans="1:15" x14ac:dyDescent="0.35">
      <c r="A550" s="3" t="s">
        <v>2153</v>
      </c>
      <c r="B550" s="3" t="s">
        <v>1419</v>
      </c>
      <c r="C550" s="3" t="s">
        <v>18</v>
      </c>
      <c r="D550" s="3" t="s">
        <v>1432</v>
      </c>
      <c r="E550" s="3" t="s">
        <v>1483</v>
      </c>
      <c r="F550" t="s">
        <v>1601</v>
      </c>
      <c r="G550" t="s">
        <v>1485</v>
      </c>
      <c r="H550" s="7">
        <v>46218</v>
      </c>
      <c r="I550" s="7">
        <v>46239</v>
      </c>
      <c r="J550" t="s">
        <v>2550</v>
      </c>
      <c r="K550" t="str">
        <f t="shared" si="35"/>
        <v>White Tablet (XL)</v>
      </c>
      <c r="L550" t="str">
        <f t="shared" si="32"/>
        <v>Fatima</v>
      </c>
      <c r="M550" t="str">
        <f>SUBSTITUTE(Table1[[#This Row],[Raw_Address]], ", ", " - ")</f>
        <v>Minneapolis - MN</v>
      </c>
      <c r="N550" t="str">
        <f t="shared" si="33"/>
        <v>Q3-2026</v>
      </c>
      <c r="O550" t="str">
        <f t="shared" si="34"/>
        <v>INV/00547/JUL</v>
      </c>
    </row>
    <row r="551" spans="1:15" x14ac:dyDescent="0.35">
      <c r="A551" s="3" t="s">
        <v>2154</v>
      </c>
      <c r="B551" s="3" t="s">
        <v>1430</v>
      </c>
      <c r="C551" s="3" t="s">
        <v>1431</v>
      </c>
      <c r="D551" s="3" t="s">
        <v>1443</v>
      </c>
      <c r="E551" s="3" t="s">
        <v>1487</v>
      </c>
      <c r="F551" t="s">
        <v>1603</v>
      </c>
      <c r="G551" t="s">
        <v>1489</v>
      </c>
      <c r="H551" s="7">
        <v>46315</v>
      </c>
      <c r="I551" s="7">
        <v>46339</v>
      </c>
      <c r="J551" t="s">
        <v>2551</v>
      </c>
      <c r="K551" t="str">
        <f t="shared" si="35"/>
        <v>Gold Mouse (S)</v>
      </c>
      <c r="L551" t="str">
        <f t="shared" si="32"/>
        <v>Grace</v>
      </c>
      <c r="M551" t="str">
        <f>SUBSTITUTE(Table1[[#This Row],[Raw_Address]], ", ", " - ")</f>
        <v>Atlanta - GA</v>
      </c>
      <c r="N551" t="str">
        <f t="shared" si="33"/>
        <v>Q4-2026</v>
      </c>
      <c r="O551" t="str">
        <f t="shared" si="34"/>
        <v>INV/00548/OCT</v>
      </c>
    </row>
    <row r="552" spans="1:15" x14ac:dyDescent="0.35">
      <c r="A552" s="3" t="s">
        <v>2155</v>
      </c>
      <c r="B552" s="3" t="s">
        <v>1442</v>
      </c>
      <c r="C552" s="3" t="s">
        <v>18</v>
      </c>
      <c r="D552" s="3" t="s">
        <v>1454</v>
      </c>
      <c r="E552" s="3" t="s">
        <v>1491</v>
      </c>
      <c r="F552" t="s">
        <v>1605</v>
      </c>
      <c r="G552" t="s">
        <v>1493</v>
      </c>
      <c r="H552" s="7">
        <v>46047</v>
      </c>
      <c r="I552" s="7">
        <v>46074</v>
      </c>
      <c r="J552" t="s">
        <v>2552</v>
      </c>
      <c r="K552" t="str">
        <f t="shared" si="35"/>
        <v>White Camera (L)</v>
      </c>
      <c r="L552" t="str">
        <f t="shared" si="32"/>
        <v>David</v>
      </c>
      <c r="M552" t="str">
        <f>SUBSTITUTE(Table1[[#This Row],[Raw_Address]], ", ", " - ")</f>
        <v>Tampa - FL</v>
      </c>
      <c r="N552" t="str">
        <f t="shared" si="33"/>
        <v>Q1-2026</v>
      </c>
      <c r="O552" t="str">
        <f t="shared" si="34"/>
        <v>INV/00549/JAN</v>
      </c>
    </row>
    <row r="553" spans="1:15" x14ac:dyDescent="0.35">
      <c r="A553" s="3" t="s">
        <v>2156</v>
      </c>
      <c r="B553" s="3" t="s">
        <v>1453</v>
      </c>
      <c r="C553" s="3" t="s">
        <v>1431</v>
      </c>
      <c r="D553" s="3" t="s">
        <v>1465</v>
      </c>
      <c r="E553" s="3" t="s">
        <v>1495</v>
      </c>
      <c r="F553" t="s">
        <v>1607</v>
      </c>
      <c r="G553" t="s">
        <v>1497</v>
      </c>
      <c r="H553" s="7">
        <v>46114</v>
      </c>
      <c r="I553" s="7">
        <v>46144</v>
      </c>
      <c r="J553" t="s">
        <v>2553</v>
      </c>
      <c r="K553" t="str">
        <f t="shared" si="35"/>
        <v>Gold Desk Lamp (XS)</v>
      </c>
      <c r="L553" t="str">
        <f t="shared" si="32"/>
        <v>Anaya</v>
      </c>
      <c r="M553" t="str">
        <f>SUBSTITUTE(Table1[[#This Row],[Raw_Address]], ", ", " - ")</f>
        <v>Phoenix - AZ</v>
      </c>
      <c r="N553" t="str">
        <f t="shared" si="33"/>
        <v>Q2-2026</v>
      </c>
      <c r="O553" t="str">
        <f t="shared" si="34"/>
        <v>INV/00550/APR</v>
      </c>
    </row>
    <row r="554" spans="1:15" x14ac:dyDescent="0.35">
      <c r="A554" s="3" t="s">
        <v>2157</v>
      </c>
      <c r="B554" s="3" t="s">
        <v>1464</v>
      </c>
      <c r="C554" s="3" t="s">
        <v>18</v>
      </c>
      <c r="D554" s="3" t="s">
        <v>1420</v>
      </c>
      <c r="E554" s="3" t="s">
        <v>1499</v>
      </c>
      <c r="F554" t="s">
        <v>1609</v>
      </c>
      <c r="G554" t="s">
        <v>1501</v>
      </c>
      <c r="H554" s="7">
        <v>46210</v>
      </c>
      <c r="I554" s="7">
        <v>46213</v>
      </c>
      <c r="J554" t="s">
        <v>2554</v>
      </c>
      <c r="K554" t="str">
        <f t="shared" si="35"/>
        <v>White Notebook (M)</v>
      </c>
      <c r="L554" t="str">
        <f t="shared" si="32"/>
        <v>Emma</v>
      </c>
      <c r="M554" t="str">
        <f>SUBSTITUTE(Table1[[#This Row],[Raw_Address]], ", ", " - ")</f>
        <v>Raleigh - NC</v>
      </c>
      <c r="N554" t="str">
        <f t="shared" si="33"/>
        <v>Q3-2026</v>
      </c>
      <c r="O554" t="str">
        <f t="shared" si="34"/>
        <v>INV/00551/JUL</v>
      </c>
    </row>
    <row r="555" spans="1:15" x14ac:dyDescent="0.35">
      <c r="A555" s="3" t="s">
        <v>2158</v>
      </c>
      <c r="B555" s="3" t="s">
        <v>1474</v>
      </c>
      <c r="C555" s="3" t="s">
        <v>1431</v>
      </c>
      <c r="D555" s="3" t="s">
        <v>1432</v>
      </c>
      <c r="E555" s="3" t="s">
        <v>1503</v>
      </c>
      <c r="F555" t="s">
        <v>1611</v>
      </c>
      <c r="G555" t="s">
        <v>1505</v>
      </c>
      <c r="H555" s="7">
        <v>46307</v>
      </c>
      <c r="I555" s="7">
        <v>46313</v>
      </c>
      <c r="J555" t="s">
        <v>2555</v>
      </c>
      <c r="K555" t="str">
        <f t="shared" si="35"/>
        <v>Gold Power Bank (XL)</v>
      </c>
      <c r="L555" t="str">
        <f t="shared" si="32"/>
        <v>Mason</v>
      </c>
      <c r="M555" t="str">
        <f>SUBSTITUTE(Table1[[#This Row],[Raw_Address]], ", ", " - ")</f>
        <v>Miami - FL</v>
      </c>
      <c r="N555" t="str">
        <f t="shared" si="33"/>
        <v>Q4-2026</v>
      </c>
      <c r="O555" t="str">
        <f t="shared" si="34"/>
        <v>INV/00552/OCT</v>
      </c>
    </row>
    <row r="556" spans="1:15" x14ac:dyDescent="0.35">
      <c r="A556" s="3" t="s">
        <v>2159</v>
      </c>
      <c r="B556" s="3" t="s">
        <v>1419</v>
      </c>
      <c r="C556" s="3" t="s">
        <v>18</v>
      </c>
      <c r="D556" s="3" t="s">
        <v>1443</v>
      </c>
      <c r="E556" s="3" t="s">
        <v>1507</v>
      </c>
      <c r="F556" t="s">
        <v>1613</v>
      </c>
      <c r="G556" t="s">
        <v>1509</v>
      </c>
      <c r="H556" s="7">
        <v>46039</v>
      </c>
      <c r="I556" s="7">
        <v>46048</v>
      </c>
      <c r="J556" t="s">
        <v>2550</v>
      </c>
      <c r="K556" t="str">
        <f t="shared" si="35"/>
        <v>White Tablet (S)</v>
      </c>
      <c r="L556" t="str">
        <f t="shared" si="32"/>
        <v>Amelia</v>
      </c>
      <c r="M556" t="str">
        <f>SUBSTITUTE(Table1[[#This Row],[Raw_Address]], ", ", " - ")</f>
        <v>Charlotte - NC</v>
      </c>
      <c r="N556" t="str">
        <f t="shared" si="33"/>
        <v>Q1-2026</v>
      </c>
      <c r="O556" t="str">
        <f t="shared" si="34"/>
        <v>INV/00553/JAN</v>
      </c>
    </row>
    <row r="557" spans="1:15" x14ac:dyDescent="0.35">
      <c r="A557" s="3" t="s">
        <v>2160</v>
      </c>
      <c r="B557" s="3" t="s">
        <v>1430</v>
      </c>
      <c r="C557" s="3" t="s">
        <v>1431</v>
      </c>
      <c r="D557" s="3" t="s">
        <v>1454</v>
      </c>
      <c r="E557" s="3" t="s">
        <v>1511</v>
      </c>
      <c r="F557" t="s">
        <v>1615</v>
      </c>
      <c r="G557" t="s">
        <v>1513</v>
      </c>
      <c r="H557" s="7">
        <v>46134</v>
      </c>
      <c r="I557" s="7">
        <v>46146</v>
      </c>
      <c r="J557" t="s">
        <v>2551</v>
      </c>
      <c r="K557" t="str">
        <f t="shared" si="35"/>
        <v>Gold Mouse (L)</v>
      </c>
      <c r="L557" t="str">
        <f t="shared" si="32"/>
        <v>Charlotte</v>
      </c>
      <c r="M557" t="str">
        <f>SUBSTITUTE(Table1[[#This Row],[Raw_Address]], ", ", " - ")</f>
        <v>Austin - TX</v>
      </c>
      <c r="N557" t="str">
        <f t="shared" si="33"/>
        <v>Q2-2026</v>
      </c>
      <c r="O557" t="str">
        <f t="shared" si="34"/>
        <v>INV/00554/APR</v>
      </c>
    </row>
    <row r="558" spans="1:15" x14ac:dyDescent="0.35">
      <c r="A558" s="3" t="s">
        <v>2161</v>
      </c>
      <c r="B558" s="3" t="s">
        <v>1442</v>
      </c>
      <c r="C558" s="3" t="s">
        <v>18</v>
      </c>
      <c r="D558" s="3" t="s">
        <v>1465</v>
      </c>
      <c r="E558" s="3" t="s">
        <v>1515</v>
      </c>
      <c r="F558" t="s">
        <v>1617</v>
      </c>
      <c r="G558" t="s">
        <v>1517</v>
      </c>
      <c r="H558" s="7">
        <v>46230</v>
      </c>
      <c r="I558" s="7">
        <v>46245</v>
      </c>
      <c r="J558" t="s">
        <v>2552</v>
      </c>
      <c r="K558" t="str">
        <f t="shared" si="35"/>
        <v>White Camera (XS)</v>
      </c>
      <c r="L558" t="str">
        <f t="shared" si="32"/>
        <v>Henry</v>
      </c>
      <c r="M558" t="str">
        <f>SUBSTITUTE(Table1[[#This Row],[Raw_Address]], ", ", " - ")</f>
        <v>San Diego - CA</v>
      </c>
      <c r="N558" t="str">
        <f t="shared" si="33"/>
        <v>Q3-2026</v>
      </c>
      <c r="O558" t="str">
        <f t="shared" si="34"/>
        <v>INV/00555/JUL</v>
      </c>
    </row>
    <row r="559" spans="1:15" x14ac:dyDescent="0.35">
      <c r="A559" s="3" t="s">
        <v>2162</v>
      </c>
      <c r="B559" s="3" t="s">
        <v>1453</v>
      </c>
      <c r="C559" s="3" t="s">
        <v>1431</v>
      </c>
      <c r="D559" s="3" t="s">
        <v>1420</v>
      </c>
      <c r="E559" s="3" t="s">
        <v>1519</v>
      </c>
      <c r="F559" t="s">
        <v>1619</v>
      </c>
      <c r="G559" t="s">
        <v>1521</v>
      </c>
      <c r="H559" s="7">
        <v>46299</v>
      </c>
      <c r="I559" s="7">
        <v>46317</v>
      </c>
      <c r="J559" t="s">
        <v>2553</v>
      </c>
      <c r="K559" t="str">
        <f t="shared" si="35"/>
        <v>Gold Desk Lamp (M)</v>
      </c>
      <c r="L559" t="str">
        <f t="shared" si="32"/>
        <v>Michael</v>
      </c>
      <c r="M559" t="str">
        <f>SUBSTITUTE(Table1[[#This Row],[Raw_Address]], ", ", " - ")</f>
        <v>Kansas City - MO</v>
      </c>
      <c r="N559" t="str">
        <f t="shared" si="33"/>
        <v>Q4-2026</v>
      </c>
      <c r="O559" t="str">
        <f t="shared" si="34"/>
        <v>INV/00556/OCT</v>
      </c>
    </row>
    <row r="560" spans="1:15" x14ac:dyDescent="0.35">
      <c r="A560" s="3" t="s">
        <v>2163</v>
      </c>
      <c r="B560" s="3" t="s">
        <v>1464</v>
      </c>
      <c r="C560" s="3" t="s">
        <v>18</v>
      </c>
      <c r="D560" s="3" t="s">
        <v>1432</v>
      </c>
      <c r="E560" s="3" t="s">
        <v>1523</v>
      </c>
      <c r="F560" t="s">
        <v>1621</v>
      </c>
      <c r="G560" t="s">
        <v>1525</v>
      </c>
      <c r="H560" s="7">
        <v>46031</v>
      </c>
      <c r="I560" s="7">
        <v>46052</v>
      </c>
      <c r="J560" t="s">
        <v>2554</v>
      </c>
      <c r="K560" t="str">
        <f t="shared" si="35"/>
        <v>White Notebook (XL)</v>
      </c>
      <c r="L560" t="str">
        <f t="shared" si="32"/>
        <v>Mateo</v>
      </c>
      <c r="M560" t="str">
        <f>SUBSTITUTE(Table1[[#This Row],[Raw_Address]], ", ", " - ")</f>
        <v>Portland - OR</v>
      </c>
      <c r="N560" t="str">
        <f t="shared" si="33"/>
        <v>Q1-2026</v>
      </c>
      <c r="O560" t="str">
        <f t="shared" si="34"/>
        <v>INV/00557/JAN</v>
      </c>
    </row>
    <row r="561" spans="1:15" x14ac:dyDescent="0.35">
      <c r="A561" s="3" t="s">
        <v>2164</v>
      </c>
      <c r="B561" s="3" t="s">
        <v>1474</v>
      </c>
      <c r="C561" s="3" t="s">
        <v>1431</v>
      </c>
      <c r="D561" s="3" t="s">
        <v>1443</v>
      </c>
      <c r="E561" s="3" t="s">
        <v>1527</v>
      </c>
      <c r="F561" t="s">
        <v>1623</v>
      </c>
      <c r="G561" t="s">
        <v>1529</v>
      </c>
      <c r="H561" s="7">
        <v>46126</v>
      </c>
      <c r="I561" s="7">
        <v>46150</v>
      </c>
      <c r="J561" t="s">
        <v>2555</v>
      </c>
      <c r="K561" t="str">
        <f t="shared" si="35"/>
        <v>Gold Power Bank (S)</v>
      </c>
      <c r="L561" t="str">
        <f t="shared" si="32"/>
        <v>Sana</v>
      </c>
      <c r="M561" t="str">
        <f>SUBSTITUTE(Table1[[#This Row],[Raw_Address]], ", ", " - ")</f>
        <v>Las Vegas - NV</v>
      </c>
      <c r="N561" t="str">
        <f t="shared" si="33"/>
        <v>Q2-2026</v>
      </c>
      <c r="O561" t="str">
        <f t="shared" si="34"/>
        <v>INV/00558/APR</v>
      </c>
    </row>
    <row r="562" spans="1:15" x14ac:dyDescent="0.35">
      <c r="A562" s="3" t="s">
        <v>2165</v>
      </c>
      <c r="B562" s="3" t="s">
        <v>1419</v>
      </c>
      <c r="C562" s="3" t="s">
        <v>18</v>
      </c>
      <c r="D562" s="3" t="s">
        <v>1454</v>
      </c>
      <c r="E562" s="3" t="s">
        <v>1531</v>
      </c>
      <c r="F562" t="s">
        <v>1625</v>
      </c>
      <c r="G562" t="s">
        <v>1533</v>
      </c>
      <c r="H562" s="7">
        <v>46222</v>
      </c>
      <c r="I562" s="7">
        <v>46249</v>
      </c>
      <c r="J562" t="s">
        <v>2550</v>
      </c>
      <c r="K562" t="str">
        <f t="shared" si="35"/>
        <v>White Tablet (L)</v>
      </c>
      <c r="L562" t="str">
        <f t="shared" si="32"/>
        <v>Omar</v>
      </c>
      <c r="M562" t="str">
        <f>SUBSTITUTE(Table1[[#This Row],[Raw_Address]], ", ", " - ")</f>
        <v>Chicago - IL</v>
      </c>
      <c r="N562" t="str">
        <f t="shared" si="33"/>
        <v>Q3-2026</v>
      </c>
      <c r="O562" t="str">
        <f t="shared" si="34"/>
        <v>INV/00559/JUL</v>
      </c>
    </row>
    <row r="563" spans="1:15" x14ac:dyDescent="0.35">
      <c r="A563" s="3" t="s">
        <v>2166</v>
      </c>
      <c r="B563" s="3" t="s">
        <v>1430</v>
      </c>
      <c r="C563" s="3" t="s">
        <v>1431</v>
      </c>
      <c r="D563" s="3" t="s">
        <v>1465</v>
      </c>
      <c r="E563" s="3" t="s">
        <v>1535</v>
      </c>
      <c r="F563" t="s">
        <v>1627</v>
      </c>
      <c r="G563" t="s">
        <v>1537</v>
      </c>
      <c r="H563" s="7">
        <v>46319</v>
      </c>
      <c r="I563" s="7">
        <v>46349</v>
      </c>
      <c r="J563" t="s">
        <v>2551</v>
      </c>
      <c r="K563" t="str">
        <f t="shared" si="35"/>
        <v>Gold Mouse (XS)</v>
      </c>
      <c r="L563" t="str">
        <f t="shared" si="32"/>
        <v>Nina</v>
      </c>
      <c r="M563" t="str">
        <f>SUBSTITUTE(Table1[[#This Row],[Raw_Address]], ", ", " - ")</f>
        <v>Detroit - MI</v>
      </c>
      <c r="N563" t="str">
        <f t="shared" si="33"/>
        <v>Q4-2026</v>
      </c>
      <c r="O563" t="str">
        <f t="shared" si="34"/>
        <v>INV/00560/OCT</v>
      </c>
    </row>
    <row r="564" spans="1:15" x14ac:dyDescent="0.35">
      <c r="A564" s="3" t="s">
        <v>2167</v>
      </c>
      <c r="B564" s="3" t="s">
        <v>1442</v>
      </c>
      <c r="C564" s="3" t="s">
        <v>18</v>
      </c>
      <c r="D564" s="3" t="s">
        <v>1420</v>
      </c>
      <c r="E564" s="3" t="s">
        <v>1539</v>
      </c>
      <c r="F564" t="s">
        <v>1629</v>
      </c>
      <c r="G564" t="s">
        <v>1423</v>
      </c>
      <c r="H564" s="7">
        <v>46023</v>
      </c>
      <c r="I564" s="7">
        <v>46026</v>
      </c>
      <c r="J564" t="s">
        <v>2552</v>
      </c>
      <c r="K564" t="str">
        <f t="shared" si="35"/>
        <v>White Camera (M)</v>
      </c>
      <c r="L564" t="str">
        <f t="shared" si="32"/>
        <v>Jack</v>
      </c>
      <c r="M564" t="str">
        <f>SUBSTITUTE(Table1[[#This Row],[Raw_Address]], ", ", " - ")</f>
        <v>Boston - MA</v>
      </c>
      <c r="N564" t="str">
        <f t="shared" si="33"/>
        <v>Q1-2026</v>
      </c>
      <c r="O564" t="str">
        <f t="shared" si="34"/>
        <v>INV/00561/JAN</v>
      </c>
    </row>
    <row r="565" spans="1:15" x14ac:dyDescent="0.35">
      <c r="A565" s="3" t="s">
        <v>2168</v>
      </c>
      <c r="B565" s="3" t="s">
        <v>1453</v>
      </c>
      <c r="C565" s="3" t="s">
        <v>1431</v>
      </c>
      <c r="D565" s="3" t="s">
        <v>1432</v>
      </c>
      <c r="E565" s="3" t="s">
        <v>1542</v>
      </c>
      <c r="F565" t="s">
        <v>1631</v>
      </c>
      <c r="G565" t="s">
        <v>1435</v>
      </c>
      <c r="H565" s="7">
        <v>46118</v>
      </c>
      <c r="I565" s="7">
        <v>46124</v>
      </c>
      <c r="J565" t="s">
        <v>2553</v>
      </c>
      <c r="K565" t="str">
        <f t="shared" si="35"/>
        <v>Gold Desk Lamp (XL)</v>
      </c>
      <c r="L565" t="str">
        <f t="shared" si="32"/>
        <v>Victor</v>
      </c>
      <c r="M565" t="str">
        <f>SUBSTITUTE(Table1[[#This Row],[Raw_Address]], ", ", " - ")</f>
        <v>Columbus - OH</v>
      </c>
      <c r="N565" t="str">
        <f t="shared" si="33"/>
        <v>Q2-2026</v>
      </c>
      <c r="O565" t="str">
        <f t="shared" si="34"/>
        <v>INV/00562/APR</v>
      </c>
    </row>
    <row r="566" spans="1:15" x14ac:dyDescent="0.35">
      <c r="A566" s="3" t="s">
        <v>2169</v>
      </c>
      <c r="B566" s="3" t="s">
        <v>1464</v>
      </c>
      <c r="C566" s="3" t="s">
        <v>18</v>
      </c>
      <c r="D566" s="3" t="s">
        <v>1443</v>
      </c>
      <c r="E566" s="3" t="s">
        <v>1545</v>
      </c>
      <c r="F566" t="s">
        <v>1633</v>
      </c>
      <c r="G566" t="s">
        <v>1446</v>
      </c>
      <c r="H566" s="7">
        <v>46214</v>
      </c>
      <c r="I566" s="7">
        <v>46223</v>
      </c>
      <c r="J566" t="s">
        <v>2554</v>
      </c>
      <c r="K566" t="str">
        <f t="shared" si="35"/>
        <v>White Notebook (S)</v>
      </c>
      <c r="L566" t="str">
        <f t="shared" si="32"/>
        <v>Liam</v>
      </c>
      <c r="M566" t="str">
        <f>SUBSTITUTE(Table1[[#This Row],[Raw_Address]], ", ", " - ")</f>
        <v>Denver - CO</v>
      </c>
      <c r="N566" t="str">
        <f t="shared" si="33"/>
        <v>Q3-2026</v>
      </c>
      <c r="O566" t="str">
        <f t="shared" si="34"/>
        <v>INV/00563/JUL</v>
      </c>
    </row>
    <row r="567" spans="1:15" x14ac:dyDescent="0.35">
      <c r="A567" s="3" t="s">
        <v>2170</v>
      </c>
      <c r="B567" s="3" t="s">
        <v>1474</v>
      </c>
      <c r="C567" s="3" t="s">
        <v>1431</v>
      </c>
      <c r="D567" s="3" t="s">
        <v>1454</v>
      </c>
      <c r="E567" s="3" t="s">
        <v>1548</v>
      </c>
      <c r="F567" t="s">
        <v>1635</v>
      </c>
      <c r="G567" t="s">
        <v>1457</v>
      </c>
      <c r="H567" s="7">
        <v>46311</v>
      </c>
      <c r="I567" s="7">
        <v>46323</v>
      </c>
      <c r="J567" t="s">
        <v>2555</v>
      </c>
      <c r="K567" t="str">
        <f t="shared" si="35"/>
        <v>Gold Power Bank (L)</v>
      </c>
      <c r="L567" t="str">
        <f t="shared" si="32"/>
        <v>Elijah</v>
      </c>
      <c r="M567" t="str">
        <f>SUBSTITUTE(Table1[[#This Row],[Raw_Address]], ", ", " - ")</f>
        <v>Dallas - TX</v>
      </c>
      <c r="N567" t="str">
        <f t="shared" si="33"/>
        <v>Q4-2026</v>
      </c>
      <c r="O567" t="str">
        <f t="shared" si="34"/>
        <v>INV/00564/OCT</v>
      </c>
    </row>
    <row r="568" spans="1:15" x14ac:dyDescent="0.35">
      <c r="A568" s="3" t="s">
        <v>2171</v>
      </c>
      <c r="B568" s="3" t="s">
        <v>1419</v>
      </c>
      <c r="C568" s="3" t="s">
        <v>18</v>
      </c>
      <c r="D568" s="3" t="s">
        <v>1465</v>
      </c>
      <c r="E568" s="3" t="s">
        <v>1551</v>
      </c>
      <c r="F568" t="s">
        <v>1637</v>
      </c>
      <c r="G568" t="s">
        <v>1468</v>
      </c>
      <c r="H568" s="7">
        <v>46043</v>
      </c>
      <c r="I568" s="7">
        <v>46058</v>
      </c>
      <c r="J568" t="s">
        <v>2550</v>
      </c>
      <c r="K568" t="str">
        <f t="shared" si="35"/>
        <v>White Tablet (XS)</v>
      </c>
      <c r="L568" t="str">
        <f t="shared" si="32"/>
        <v>Lucas</v>
      </c>
      <c r="M568" t="str">
        <f>SUBSTITUTE(Table1[[#This Row],[Raw_Address]], ", ", " - ")</f>
        <v>Seattle - WA</v>
      </c>
      <c r="N568" t="str">
        <f t="shared" si="33"/>
        <v>Q1-2026</v>
      </c>
      <c r="O568" t="str">
        <f t="shared" si="34"/>
        <v>INV/00565/JAN</v>
      </c>
    </row>
    <row r="569" spans="1:15" x14ac:dyDescent="0.35">
      <c r="A569" s="3" t="s">
        <v>2172</v>
      </c>
      <c r="B569" s="3" t="s">
        <v>1430</v>
      </c>
      <c r="C569" s="3" t="s">
        <v>1431</v>
      </c>
      <c r="D569" s="3" t="s">
        <v>1420</v>
      </c>
      <c r="E569" s="3" t="s">
        <v>1554</v>
      </c>
      <c r="F569" t="s">
        <v>1639</v>
      </c>
      <c r="G569" t="s">
        <v>1477</v>
      </c>
      <c r="H569" s="7">
        <v>46138</v>
      </c>
      <c r="I569" s="7">
        <v>46156</v>
      </c>
      <c r="J569" t="s">
        <v>2551</v>
      </c>
      <c r="K569" t="str">
        <f t="shared" si="35"/>
        <v>Gold Mouse (M)</v>
      </c>
      <c r="L569" t="str">
        <f t="shared" si="32"/>
        <v>Ethan</v>
      </c>
      <c r="M569" t="str">
        <f>SUBSTITUTE(Table1[[#This Row],[Raw_Address]], ", ", " - ")</f>
        <v>Nashville - TN</v>
      </c>
      <c r="N569" t="str">
        <f t="shared" si="33"/>
        <v>Q2-2026</v>
      </c>
      <c r="O569" t="str">
        <f t="shared" si="34"/>
        <v>INV/00566/APR</v>
      </c>
    </row>
    <row r="570" spans="1:15" x14ac:dyDescent="0.35">
      <c r="A570" s="3" t="s">
        <v>2173</v>
      </c>
      <c r="B570" s="3" t="s">
        <v>1442</v>
      </c>
      <c r="C570" s="3" t="s">
        <v>18</v>
      </c>
      <c r="D570" s="3" t="s">
        <v>1432</v>
      </c>
      <c r="E570" s="3" t="s">
        <v>1557</v>
      </c>
      <c r="F570" t="s">
        <v>1641</v>
      </c>
      <c r="G570" t="s">
        <v>1485</v>
      </c>
      <c r="H570" s="7">
        <v>46206</v>
      </c>
      <c r="I570" s="7">
        <v>46227</v>
      </c>
      <c r="J570" t="s">
        <v>2552</v>
      </c>
      <c r="K570" t="str">
        <f t="shared" si="35"/>
        <v>White Camera (XL)</v>
      </c>
      <c r="L570" t="str">
        <f t="shared" si="32"/>
        <v>Evelyn</v>
      </c>
      <c r="M570" t="str">
        <f>SUBSTITUTE(Table1[[#This Row],[Raw_Address]], ", ", " - ")</f>
        <v>Minneapolis - MN</v>
      </c>
      <c r="N570" t="str">
        <f t="shared" si="33"/>
        <v>Q3-2026</v>
      </c>
      <c r="O570" t="str">
        <f t="shared" si="34"/>
        <v>INV/00567/JUL</v>
      </c>
    </row>
    <row r="571" spans="1:15" x14ac:dyDescent="0.35">
      <c r="A571" s="3" t="s">
        <v>2174</v>
      </c>
      <c r="B571" s="3" t="s">
        <v>1453</v>
      </c>
      <c r="C571" s="3" t="s">
        <v>1431</v>
      </c>
      <c r="D571" s="3" t="s">
        <v>1443</v>
      </c>
      <c r="E571" s="3" t="s">
        <v>1560</v>
      </c>
      <c r="F571" t="s">
        <v>1643</v>
      </c>
      <c r="G571" t="s">
        <v>1489</v>
      </c>
      <c r="H571" s="7">
        <v>46303</v>
      </c>
      <c r="I571" s="7">
        <v>46327</v>
      </c>
      <c r="J571" t="s">
        <v>2553</v>
      </c>
      <c r="K571" t="str">
        <f t="shared" si="35"/>
        <v>Gold Desk Lamp (S)</v>
      </c>
      <c r="L571" t="str">
        <f t="shared" si="32"/>
        <v>Scarlett</v>
      </c>
      <c r="M571" t="str">
        <f>SUBSTITUTE(Table1[[#This Row],[Raw_Address]], ", ", " - ")</f>
        <v>Atlanta - GA</v>
      </c>
      <c r="N571" t="str">
        <f t="shared" si="33"/>
        <v>Q4-2026</v>
      </c>
      <c r="O571" t="str">
        <f t="shared" si="34"/>
        <v>INV/00568/OCT</v>
      </c>
    </row>
    <row r="572" spans="1:15" x14ac:dyDescent="0.35">
      <c r="A572" s="3" t="s">
        <v>2175</v>
      </c>
      <c r="B572" s="3" t="s">
        <v>1464</v>
      </c>
      <c r="C572" s="3" t="s">
        <v>18</v>
      </c>
      <c r="D572" s="3" t="s">
        <v>1454</v>
      </c>
      <c r="E572" s="3" t="s">
        <v>1563</v>
      </c>
      <c r="F572" t="s">
        <v>1645</v>
      </c>
      <c r="G572" t="s">
        <v>1493</v>
      </c>
      <c r="H572" s="7">
        <v>46035</v>
      </c>
      <c r="I572" s="7">
        <v>46062</v>
      </c>
      <c r="J572" t="s">
        <v>2554</v>
      </c>
      <c r="K572" t="str">
        <f t="shared" si="35"/>
        <v>White Notebook (L)</v>
      </c>
      <c r="L572" t="str">
        <f t="shared" si="32"/>
        <v>Sofia</v>
      </c>
      <c r="M572" t="str">
        <f>SUBSTITUTE(Table1[[#This Row],[Raw_Address]], ", ", " - ")</f>
        <v>Tampa - FL</v>
      </c>
      <c r="N572" t="str">
        <f t="shared" si="33"/>
        <v>Q1-2026</v>
      </c>
      <c r="O572" t="str">
        <f t="shared" si="34"/>
        <v>INV/00569/JAN</v>
      </c>
    </row>
    <row r="573" spans="1:15" x14ac:dyDescent="0.35">
      <c r="A573" s="3" t="s">
        <v>2176</v>
      </c>
      <c r="B573" s="3" t="s">
        <v>1474</v>
      </c>
      <c r="C573" s="3" t="s">
        <v>1431</v>
      </c>
      <c r="D573" s="3" t="s">
        <v>1465</v>
      </c>
      <c r="E573" s="3" t="s">
        <v>1566</v>
      </c>
      <c r="F573" t="s">
        <v>1647</v>
      </c>
      <c r="G573" t="s">
        <v>1497</v>
      </c>
      <c r="H573" s="7">
        <v>46130</v>
      </c>
      <c r="I573" s="7">
        <v>46160</v>
      </c>
      <c r="J573" t="s">
        <v>2555</v>
      </c>
      <c r="K573" t="str">
        <f t="shared" si="35"/>
        <v>Gold Power Bank (XS)</v>
      </c>
      <c r="L573" t="str">
        <f t="shared" si="32"/>
        <v>Priya</v>
      </c>
      <c r="M573" t="str">
        <f>SUBSTITUTE(Table1[[#This Row],[Raw_Address]], ", ", " - ")</f>
        <v>Phoenix - AZ</v>
      </c>
      <c r="N573" t="str">
        <f t="shared" si="33"/>
        <v>Q2-2026</v>
      </c>
      <c r="O573" t="str">
        <f t="shared" si="34"/>
        <v>INV/00570/APR</v>
      </c>
    </row>
    <row r="574" spans="1:15" x14ac:dyDescent="0.35">
      <c r="A574" s="3" t="s">
        <v>2177</v>
      </c>
      <c r="B574" s="3" t="s">
        <v>1419</v>
      </c>
      <c r="C574" s="3" t="s">
        <v>18</v>
      </c>
      <c r="D574" s="3" t="s">
        <v>1420</v>
      </c>
      <c r="E574" s="3" t="s">
        <v>1421</v>
      </c>
      <c r="F574" t="s">
        <v>1649</v>
      </c>
      <c r="G574" t="s">
        <v>1501</v>
      </c>
      <c r="H574" s="7">
        <v>46226</v>
      </c>
      <c r="I574" s="7">
        <v>46229</v>
      </c>
      <c r="J574" t="s">
        <v>2550</v>
      </c>
      <c r="K574" t="str">
        <f t="shared" si="35"/>
        <v>White Tablet (M)</v>
      </c>
      <c r="L574" t="str">
        <f t="shared" si="32"/>
        <v>Kabir</v>
      </c>
      <c r="M574" t="str">
        <f>SUBSTITUTE(Table1[[#This Row],[Raw_Address]], ", ", " - ")</f>
        <v>Raleigh - NC</v>
      </c>
      <c r="N574" t="str">
        <f t="shared" si="33"/>
        <v>Q3-2026</v>
      </c>
      <c r="O574" t="str">
        <f t="shared" si="34"/>
        <v>INV/00571/JUL</v>
      </c>
    </row>
    <row r="575" spans="1:15" x14ac:dyDescent="0.35">
      <c r="A575" s="3" t="s">
        <v>2178</v>
      </c>
      <c r="B575" s="3" t="s">
        <v>1430</v>
      </c>
      <c r="C575" s="3" t="s">
        <v>1431</v>
      </c>
      <c r="D575" s="3" t="s">
        <v>1432</v>
      </c>
      <c r="E575" s="3" t="s">
        <v>1433</v>
      </c>
      <c r="F575" t="s">
        <v>1651</v>
      </c>
      <c r="G575" t="s">
        <v>1505</v>
      </c>
      <c r="H575" s="7">
        <v>46323</v>
      </c>
      <c r="I575" s="7">
        <v>46329</v>
      </c>
      <c r="J575" t="s">
        <v>2551</v>
      </c>
      <c r="K575" t="str">
        <f t="shared" si="35"/>
        <v>Gold Mouse (XL)</v>
      </c>
      <c r="L575" t="str">
        <f t="shared" si="32"/>
        <v>Fatima</v>
      </c>
      <c r="M575" t="str">
        <f>SUBSTITUTE(Table1[[#This Row],[Raw_Address]], ", ", " - ")</f>
        <v>Miami - FL</v>
      </c>
      <c r="N575" t="str">
        <f t="shared" si="33"/>
        <v>Q4-2026</v>
      </c>
      <c r="O575" t="str">
        <f t="shared" si="34"/>
        <v>INV/00572/OCT</v>
      </c>
    </row>
    <row r="576" spans="1:15" x14ac:dyDescent="0.35">
      <c r="A576" s="3" t="s">
        <v>2179</v>
      </c>
      <c r="B576" s="3" t="s">
        <v>1442</v>
      </c>
      <c r="C576" s="3" t="s">
        <v>18</v>
      </c>
      <c r="D576" s="3" t="s">
        <v>1443</v>
      </c>
      <c r="E576" s="3" t="s">
        <v>1444</v>
      </c>
      <c r="F576" t="s">
        <v>1653</v>
      </c>
      <c r="G576" t="s">
        <v>1509</v>
      </c>
      <c r="H576" s="7">
        <v>46027</v>
      </c>
      <c r="I576" s="7">
        <v>46036</v>
      </c>
      <c r="J576" t="s">
        <v>2552</v>
      </c>
      <c r="K576" t="str">
        <f t="shared" si="35"/>
        <v>White Camera (S)</v>
      </c>
      <c r="L576" t="str">
        <f t="shared" si="32"/>
        <v>Grace</v>
      </c>
      <c r="M576" t="str">
        <f>SUBSTITUTE(Table1[[#This Row],[Raw_Address]], ", ", " - ")</f>
        <v>Charlotte - NC</v>
      </c>
      <c r="N576" t="str">
        <f t="shared" si="33"/>
        <v>Q1-2026</v>
      </c>
      <c r="O576" t="str">
        <f t="shared" si="34"/>
        <v>INV/00573/JAN</v>
      </c>
    </row>
    <row r="577" spans="1:15" x14ac:dyDescent="0.35">
      <c r="A577" s="3" t="s">
        <v>2180</v>
      </c>
      <c r="B577" s="3" t="s">
        <v>1453</v>
      </c>
      <c r="C577" s="3" t="s">
        <v>1431</v>
      </c>
      <c r="D577" s="3" t="s">
        <v>1454</v>
      </c>
      <c r="E577" s="3" t="s">
        <v>1455</v>
      </c>
      <c r="F577" t="s">
        <v>1655</v>
      </c>
      <c r="G577" t="s">
        <v>1513</v>
      </c>
      <c r="H577" s="7">
        <v>46122</v>
      </c>
      <c r="I577" s="7">
        <v>46134</v>
      </c>
      <c r="J577" t="s">
        <v>2553</v>
      </c>
      <c r="K577" t="str">
        <f t="shared" si="35"/>
        <v>Gold Desk Lamp (L)</v>
      </c>
      <c r="L577" t="str">
        <f t="shared" si="32"/>
        <v>David</v>
      </c>
      <c r="M577" t="str">
        <f>SUBSTITUTE(Table1[[#This Row],[Raw_Address]], ", ", " - ")</f>
        <v>Austin - TX</v>
      </c>
      <c r="N577" t="str">
        <f t="shared" si="33"/>
        <v>Q2-2026</v>
      </c>
      <c r="O577" t="str">
        <f t="shared" si="34"/>
        <v>INV/00574/APR</v>
      </c>
    </row>
  </sheetData>
  <mergeCells count="2">
    <mergeCell ref="A1:O1"/>
    <mergeCell ref="A2:O2"/>
  </mergeCells>
  <pageMargins left="0.75" right="0.75" top="1" bottom="1" header="0.5" footer="0.5"/>
  <pageSetup orientation="portrait" horizontalDpi="1200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FlashFill_Names</vt:lpstr>
      <vt:lpstr>FlashFill_Text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chibuzo</cp:lastModifiedBy>
  <dcterms:created xsi:type="dcterms:W3CDTF">2026-04-19T11:43:27Z</dcterms:created>
  <dcterms:modified xsi:type="dcterms:W3CDTF">2026-05-04T14:03:31Z</dcterms:modified>
</cp:coreProperties>
</file>