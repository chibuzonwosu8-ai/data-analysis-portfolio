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ristopher\Documents\"/>
    </mc:Choice>
  </mc:AlternateContent>
  <xr:revisionPtr revIDLastSave="0" documentId="13_ncr:1_{4410C704-20C5-4D57-9A70-F29BFDF1B423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Instructions" sheetId="1" r:id="rId1"/>
    <sheet name="Dataset" sheetId="2" r:id="rId2"/>
    <sheet name="Practice" sheetId="3" r:id="rId3"/>
    <sheet name="Answer_Ke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3" l="1"/>
  <c r="D29" i="3"/>
  <c r="E29" i="3" s="1"/>
  <c r="F29" i="3" s="1"/>
  <c r="D10" i="3"/>
  <c r="E10" i="3" s="1"/>
  <c r="F10" i="3" s="1"/>
  <c r="D30" i="3"/>
  <c r="D28" i="3"/>
  <c r="E28" i="3" s="1"/>
  <c r="F28" i="3" s="1"/>
  <c r="D27" i="3"/>
  <c r="E27" i="3" s="1"/>
  <c r="F27" i="3" s="1"/>
  <c r="D26" i="3"/>
  <c r="E26" i="3" s="1"/>
  <c r="F26" i="3" s="1"/>
  <c r="D25" i="3"/>
  <c r="E25" i="3" s="1"/>
  <c r="F25" i="3" s="1"/>
  <c r="D24" i="3"/>
  <c r="E24" i="3" s="1"/>
  <c r="F24" i="3" s="1"/>
  <c r="D23" i="3"/>
  <c r="E23" i="3" s="1"/>
  <c r="F23" i="3" s="1"/>
  <c r="D22" i="3"/>
  <c r="E22" i="3" s="1"/>
  <c r="F22" i="3" s="1"/>
  <c r="D21" i="3"/>
  <c r="E21" i="3" s="1"/>
  <c r="F21" i="3" s="1"/>
  <c r="D20" i="3"/>
  <c r="E20" i="3" s="1"/>
  <c r="F20" i="3" s="1"/>
  <c r="D19" i="3"/>
  <c r="D18" i="3"/>
  <c r="E18" i="3" s="1"/>
  <c r="F18" i="3" s="1"/>
  <c r="D17" i="3"/>
  <c r="E17" i="3" s="1"/>
  <c r="F17" i="3" s="1"/>
  <c r="D16" i="3"/>
  <c r="E16" i="3" s="1"/>
  <c r="F16" i="3" s="1"/>
  <c r="D15" i="3"/>
  <c r="E15" i="3" s="1"/>
  <c r="F15" i="3" s="1"/>
  <c r="D14" i="3"/>
  <c r="E14" i="3" s="1"/>
  <c r="F14" i="3" s="1"/>
  <c r="D13" i="3"/>
  <c r="E13" i="3" s="1"/>
  <c r="F13" i="3" s="1"/>
  <c r="D12" i="3"/>
  <c r="E12" i="3" s="1"/>
  <c r="F12" i="3" s="1"/>
  <c r="D9" i="3"/>
  <c r="E9" i="3" s="1"/>
  <c r="F9" i="3" s="1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E30" i="3"/>
  <c r="F30" i="3" s="1"/>
  <c r="E19" i="3"/>
  <c r="F19" i="3" s="1"/>
  <c r="F11" i="3"/>
  <c r="B4" i="3"/>
  <c r="E4" i="3" l="1"/>
  <c r="E5" i="3"/>
  <c r="B3" i="3"/>
  <c r="B5" i="3" s="1"/>
  <c r="E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Type a formula here, for example =COUNT(Dataset!D2:D16)</t>
        </r>
      </text>
    </comment>
  </commentList>
</comments>
</file>

<file path=xl/sharedStrings.xml><?xml version="1.0" encoding="utf-8"?>
<sst xmlns="http://schemas.openxmlformats.org/spreadsheetml/2006/main" count="247" uniqueCount="157">
  <si>
    <t>Excel Functions Auto-Grading Practice</t>
  </si>
  <si>
    <t>How to use this workbook</t>
  </si>
  <si>
    <t>1. Use the Dataset sheet to write formulas in the blue cells on the Practice sheet.</t>
  </si>
  <si>
    <t>2. Each blue answer cell should contain a formula, not a typed answer.</t>
  </si>
  <si>
    <t>3. Grading is result-based: if your formula returns the correct result, the row shows Correct.</t>
  </si>
  <si>
    <t>4. Status meanings: Correct = right answer, Try again = wrong result, Fix formula = formula error.</t>
  </si>
  <si>
    <t>5. The Answer_Key sheet is hidden so students can work independently.</t>
  </si>
  <si>
    <t>Functions covered</t>
  </si>
  <si>
    <t>COUNT, COUNTA, COUNTIF, COUNTIFS, COUNTBLANK, SUM, SUMIF, SUMIFS, AVERAGE, AVERAGEIF, MIN, MAX, CONCAT, LEN, LOWER, UPPER, PROPER, TRIM, LEFT, RIGHT, MID, FIND</t>
  </si>
  <si>
    <t>Tip: For text functions, pay attention to spaces and letter case.</t>
  </si>
  <si>
    <t>ID</t>
  </si>
  <si>
    <t>Name</t>
  </si>
  <si>
    <t>Department</t>
  </si>
  <si>
    <t>Score</t>
  </si>
  <si>
    <t>Salary</t>
  </si>
  <si>
    <t>City</t>
  </si>
  <si>
    <t>Raw Text</t>
  </si>
  <si>
    <t>Code</t>
  </si>
  <si>
    <t>john doe</t>
  </si>
  <si>
    <t>IT</t>
  </si>
  <si>
    <t>lagos</t>
  </si>
  <si>
    <t xml:space="preserve">   john   doe   </t>
  </si>
  <si>
    <t>PRD-100-LAG</t>
  </si>
  <si>
    <t>mary ann</t>
  </si>
  <si>
    <t>HR</t>
  </si>
  <si>
    <t>abuja</t>
  </si>
  <si>
    <t xml:space="preserve">  mary ann</t>
  </si>
  <si>
    <t>INV-210-ABJ</t>
  </si>
  <si>
    <t>PETER OBI</t>
  </si>
  <si>
    <t>lagos island</t>
  </si>
  <si>
    <t xml:space="preserve">peter   obi  </t>
  </si>
  <si>
    <t>SUP-305-PHC</t>
  </si>
  <si>
    <t>Jane Smith</t>
  </si>
  <si>
    <t>Finance</t>
  </si>
  <si>
    <t>port harcourt</t>
  </si>
  <si>
    <t xml:space="preserve">  jane smith   </t>
  </si>
  <si>
    <t>ACC-415-ENU</t>
  </si>
  <si>
    <t>samuel okon</t>
  </si>
  <si>
    <t>uyo</t>
  </si>
  <si>
    <t xml:space="preserve"> samuel okon </t>
  </si>
  <si>
    <t>HRM-510-UYO</t>
  </si>
  <si>
    <t>linda joy</t>
  </si>
  <si>
    <t/>
  </si>
  <si>
    <t xml:space="preserve"> linda   joy </t>
  </si>
  <si>
    <t>OPS-615-LOS</t>
  </si>
  <si>
    <t>victor igwe</t>
  </si>
  <si>
    <t>enugu</t>
  </si>
  <si>
    <t xml:space="preserve"> victor igwe </t>
  </si>
  <si>
    <t>MKT-720-ABK</t>
  </si>
  <si>
    <t xml:space="preserve"> guest user </t>
  </si>
  <si>
    <t>DEV-825-LAG</t>
  </si>
  <si>
    <t>grace paul</t>
  </si>
  <si>
    <t xml:space="preserve"> grace paul </t>
  </si>
  <si>
    <t>FIN-930-ABJ</t>
  </si>
  <si>
    <t>daniel king</t>
  </si>
  <si>
    <t xml:space="preserve"> daniel king </t>
  </si>
  <si>
    <t>SAL-104-KAD</t>
  </si>
  <si>
    <t>esther igwe</t>
  </si>
  <si>
    <t>Sales</t>
  </si>
  <si>
    <t>ibadan</t>
  </si>
  <si>
    <t xml:space="preserve"> esther igwe </t>
  </si>
  <si>
    <t>WHS-118-IBD</t>
  </si>
  <si>
    <t>michael lee</t>
  </si>
  <si>
    <t>kano</t>
  </si>
  <si>
    <t xml:space="preserve"> michael lee </t>
  </si>
  <si>
    <t>LOG-225-KAN</t>
  </si>
  <si>
    <t>tolu akin</t>
  </si>
  <si>
    <t xml:space="preserve"> tolu akin </t>
  </si>
  <si>
    <t>ITS-330-LAG</t>
  </si>
  <si>
    <t>ruth okwu</t>
  </si>
  <si>
    <t xml:space="preserve"> ruth okwu </t>
  </si>
  <si>
    <t>ADM-440-ENU</t>
  </si>
  <si>
    <t>chinedu obi</t>
  </si>
  <si>
    <t xml:space="preserve"> chinedu obi </t>
  </si>
  <si>
    <t>AUD-550-ABJ</t>
  </si>
  <si>
    <t>Auto-Grading Function Practice</t>
  </si>
  <si>
    <t>Correct</t>
  </si>
  <si>
    <t>Questions</t>
  </si>
  <si>
    <t>Try Again</t>
  </si>
  <si>
    <t>Percent</t>
  </si>
  <si>
    <t>Fix Formula</t>
  </si>
  <si>
    <t>No.</t>
  </si>
  <si>
    <t>Function</t>
  </si>
  <si>
    <t>Task</t>
  </si>
  <si>
    <t>Your Formula / Result</t>
  </si>
  <si>
    <t>Status</t>
  </si>
  <si>
    <t>Points</t>
  </si>
  <si>
    <t>Hint</t>
  </si>
  <si>
    <t>Expected Type</t>
  </si>
  <si>
    <t>COUNT</t>
  </si>
  <si>
    <t>Count the numeric values in Dataset!D2:D16.</t>
  </si>
  <si>
    <t>Use Dataset!D2:D16</t>
  </si>
  <si>
    <t>N</t>
  </si>
  <si>
    <t>COUNTA</t>
  </si>
  <si>
    <t>Count the non-blank cells in Dataset!B2:B16.</t>
  </si>
  <si>
    <t>Use Dataset!B2:B16</t>
  </si>
  <si>
    <t>COUNTIF</t>
  </si>
  <si>
    <t>Count how many cells in Dataset!C2:C16 equal "IT".</t>
  </si>
  <si>
    <t>Criteria: "IT"</t>
  </si>
  <si>
    <t>COUNTIFS</t>
  </si>
  <si>
    <t>Count rows where Department is "HR" and Score is greater than or equal to 80.</t>
  </si>
  <si>
    <t>Ranges: C2:C16 and D2:D16</t>
  </si>
  <si>
    <t>COUNTBLANK</t>
  </si>
  <si>
    <t>Count the blank cells in Dataset!F2:F16.</t>
  </si>
  <si>
    <t>Use Dataset!F2:F16</t>
  </si>
  <si>
    <t>SUM</t>
  </si>
  <si>
    <t>Add all salaries in Dataset!E2:E16.</t>
  </si>
  <si>
    <t>Use Dataset!E2:E16</t>
  </si>
  <si>
    <t>SUMIF</t>
  </si>
  <si>
    <t>Sum salaries where Department is "IT".</t>
  </si>
  <si>
    <t>Range C2:C16, sum E2:E16</t>
  </si>
  <si>
    <t>SUMIFS</t>
  </si>
  <si>
    <t>Sum salaries where Department is "IT" and Score is greater than or equal to 80.</t>
  </si>
  <si>
    <t>Use C2:C16, D2:D16, E2:E16</t>
  </si>
  <si>
    <t>AVERAGE</t>
  </si>
  <si>
    <t>Find the average of the numeric scores in Dataset!D2:D16.</t>
  </si>
  <si>
    <t>AVERAGEIF</t>
  </si>
  <si>
    <t>Find the average score for rows where Department is "Finance".</t>
  </si>
  <si>
    <t>Criteria on C2:C16</t>
  </si>
  <si>
    <t>MIN</t>
  </si>
  <si>
    <t>Return the lowest numeric score in Dataset!D2:D16.</t>
  </si>
  <si>
    <t>MAX</t>
  </si>
  <si>
    <t>Return the highest numeric score in Dataset!D2:D16.</t>
  </si>
  <si>
    <t>CONCAT</t>
  </si>
  <si>
    <t>Join Dataset!B2, " - ", and Dataset!F2 into one text string.</t>
  </si>
  <si>
    <t>Example pattern: name - city</t>
  </si>
  <si>
    <t>T</t>
  </si>
  <si>
    <t>LEN</t>
  </si>
  <si>
    <t>Count the number of characters in Dataset!B3.</t>
  </si>
  <si>
    <t>Use Dataset!B3</t>
  </si>
  <si>
    <t>LOWER</t>
  </si>
  <si>
    <t>Convert Dataset!B4 to lowercase.</t>
  </si>
  <si>
    <t>Use Dataset!B4</t>
  </si>
  <si>
    <t>UPPER</t>
  </si>
  <si>
    <t>Convert Dataset!F5 to uppercase.</t>
  </si>
  <si>
    <t>Use Dataset!F5</t>
  </si>
  <si>
    <t>PROPER</t>
  </si>
  <si>
    <t>Convert Dataset!B7 to proper case.</t>
  </si>
  <si>
    <t>Use Dataset!B7</t>
  </si>
  <si>
    <t>TRIM</t>
  </si>
  <si>
    <t>Clean extra spaces in Dataset!G2.</t>
  </si>
  <si>
    <t>Use Dataset!G2</t>
  </si>
  <si>
    <t>LEFT</t>
  </si>
  <si>
    <t>Return the first 4 characters from Dataset!H2.</t>
  </si>
  <si>
    <t>Use Dataset!H2</t>
  </si>
  <si>
    <t>RIGHT</t>
  </si>
  <si>
    <t>Return the last 3 characters from Dataset!H3.</t>
  </si>
  <si>
    <t>Use Dataset!H3</t>
  </si>
  <si>
    <t>MID</t>
  </si>
  <si>
    <t>From Dataset!H4, return 3 characters starting at character 5.</t>
  </si>
  <si>
    <t>Use MID with H4</t>
  </si>
  <si>
    <t>FIND</t>
  </si>
  <si>
    <t>Find the position of "-" in Dataset!H2.</t>
  </si>
  <si>
    <t>Find first hyphen</t>
  </si>
  <si>
    <t>Enter each answer as a formula in column D.</t>
  </si>
  <si>
    <t>Expected_Result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</si>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</sst>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2"/>
      <color rgb="FFFFFFFF"/>
      <name val="Calibri"/>
    </font>
    <font>
      <i/>
      <sz val="11"/>
      <color rgb="FF7030A0"/>
      <name val="Calibri"/>
    </font>
    <font>
      <b/>
      <sz val="11"/>
      <color rgb="FFFFFFFF"/>
      <name val="Calibri"/>
    </font>
    <font>
      <b/>
      <sz val="15"/>
      <color rgb="FFFFFFFF"/>
      <name val="Calibri"/>
    </font>
    <font>
      <b/>
      <sz val="11"/>
      <name val="Calibri"/>
    </font>
    <font>
      <sz val="11"/>
      <color rgb="FF0000FF"/>
      <name val="Calibri"/>
    </font>
    <font>
      <sz val="11"/>
      <color rgb="FF7030A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8FB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2" borderId="0" xfId="0" applyFont="1" applyFill="1" applyAlignment="1">
      <alignment horizontal="center"/>
    </xf>
    <xf numFmtId="0" fontId="6" fillId="3" borderId="0" xfId="0" applyFont="1" applyFill="1"/>
    <xf numFmtId="0" fontId="6" fillId="4" borderId="0" xfId="0" applyFont="1" applyFill="1"/>
    <xf numFmtId="9" fontId="6" fillId="4" borderId="0" xfId="0" applyNumberFormat="1" applyFont="1" applyFill="1"/>
    <xf numFmtId="0" fontId="4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4" fillId="2" borderId="0" xfId="0" applyFont="1" applyFill="1"/>
    <xf numFmtId="0" fontId="9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vertical="center"/>
    </xf>
    <xf numFmtId="3" fontId="9" fillId="6" borderId="2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3" fontId="9" fillId="0" borderId="2" xfId="0" applyNumberFormat="1" applyFont="1" applyBorder="1" applyAlignment="1">
      <alignment horizontal="center" vertical="center"/>
    </xf>
    <xf numFmtId="0" fontId="7" fillId="5" borderId="1" xfId="0" quotePrefix="1" applyFont="1" applyFill="1" applyBorder="1" applyAlignment="1">
      <alignment vertical="top" wrapText="1"/>
    </xf>
    <xf numFmtId="3" fontId="7" fillId="5" borderId="1" xfId="0" applyNumberFormat="1" applyFont="1" applyFill="1" applyBorder="1" applyAlignment="1">
      <alignment vertical="top" wrapText="1"/>
    </xf>
    <xf numFmtId="0" fontId="3" fillId="0" borderId="0" xfId="0" applyFont="1"/>
    <xf numFmtId="0" fontId="0" fillId="0" borderId="0" xfId="0"/>
    <xf numFmtId="0" fontId="5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4">
    <dxf>
      <fill>
        <patternFill>
          <bgColor rgb="FFE2F0D9"/>
        </patternFill>
      </fill>
    </dxf>
    <dxf>
      <fill>
        <patternFill>
          <bgColor rgb="FFFDE9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9c6ce6fe25bf4274" Type="http://schemas.microsoft.com/office/2017/10/relationships/person" Target="persons/person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971550</xdr:colOff>
      <xdr:row>18</xdr:row>
      <xdr:rowOff>57150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63314363-627B-C228-980D-DB65A9C8F9F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971550</xdr:colOff>
      <xdr:row>18</xdr:row>
      <xdr:rowOff>57150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167874E6-812C-A941-965B-82C529A209D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0833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971550</xdr:colOff>
      <xdr:row>18</xdr:row>
      <xdr:rowOff>57150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FF5F1DAA-3D15-C5B8-9334-F89438EDA2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0833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971550</xdr:colOff>
      <xdr:row>18</xdr:row>
      <xdr:rowOff>57150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DA81BDA6-08E9-50E3-76A8-ACD0598EC2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0833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6461E5B6-1FED-1410-293A-86AB2B68BF7C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workbookViewId="0">
      <selection activeCell="A6" sqref="A6"/>
    </sheetView>
  </sheetViews>
  <sheetFormatPr defaultRowHeight="14.5" x14ac:dyDescent="0.35"/>
  <cols>
    <col min="1" max="1" width="152.453125" bestFit="1" customWidth="1"/>
    <col min="2" max="6" width="22" customWidth="1"/>
  </cols>
  <sheetData>
    <row r="1" spans="1:6" ht="24" customHeight="1" x14ac:dyDescent="0.5">
      <c r="A1" s="24" t="s">
        <v>0</v>
      </c>
      <c r="B1" s="22"/>
      <c r="C1" s="22"/>
      <c r="D1" s="22"/>
      <c r="E1" s="22"/>
      <c r="F1" s="22"/>
    </row>
    <row r="3" spans="1:6" ht="15.5" x14ac:dyDescent="0.35">
      <c r="A3" s="1" t="s">
        <v>1</v>
      </c>
    </row>
    <row r="4" spans="1:6" x14ac:dyDescent="0.35">
      <c r="A4" t="s">
        <v>2</v>
      </c>
    </row>
    <row r="5" spans="1:6" x14ac:dyDescent="0.35">
      <c r="A5" t="s">
        <v>3</v>
      </c>
    </row>
    <row r="6" spans="1:6" x14ac:dyDescent="0.35">
      <c r="A6" t="s">
        <v>4</v>
      </c>
    </row>
    <row r="7" spans="1:6" x14ac:dyDescent="0.35">
      <c r="A7" t="s">
        <v>5</v>
      </c>
    </row>
    <row r="8" spans="1:6" x14ac:dyDescent="0.35">
      <c r="A8" t="s">
        <v>6</v>
      </c>
    </row>
    <row r="10" spans="1:6" ht="15.5" x14ac:dyDescent="0.35">
      <c r="A10" s="1" t="s">
        <v>7</v>
      </c>
    </row>
    <row r="11" spans="1:6" x14ac:dyDescent="0.35">
      <c r="A11" t="s">
        <v>8</v>
      </c>
    </row>
    <row r="13" spans="1:6" x14ac:dyDescent="0.35">
      <c r="A13" s="2" t="s">
        <v>9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selection activeCell="F10" sqref="F10"/>
    </sheetView>
  </sheetViews>
  <sheetFormatPr defaultRowHeight="14.5" x14ac:dyDescent="0.35"/>
  <cols>
    <col min="1" max="1" width="8" customWidth="1"/>
    <col min="2" max="2" width="18" customWidth="1"/>
    <col min="3" max="3" width="14" customWidth="1"/>
    <col min="4" max="4" width="10" customWidth="1"/>
    <col min="5" max="5" width="12" customWidth="1"/>
    <col min="6" max="6" width="16" customWidth="1"/>
    <col min="7" max="7" width="18" customWidth="1"/>
    <col min="8" max="8" width="14" customWidth="1"/>
  </cols>
  <sheetData>
    <row r="1" spans="1:8" x14ac:dyDescent="0.3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</row>
    <row r="2" spans="1:8" ht="20" customHeight="1" x14ac:dyDescent="0.35">
      <c r="A2" s="13">
        <v>1</v>
      </c>
      <c r="B2" s="14" t="s">
        <v>18</v>
      </c>
      <c r="C2" s="14" t="s">
        <v>19</v>
      </c>
      <c r="D2" s="13">
        <v>78</v>
      </c>
      <c r="E2" s="15">
        <v>50000</v>
      </c>
      <c r="F2" s="14" t="s">
        <v>20</v>
      </c>
      <c r="G2" s="14" t="s">
        <v>21</v>
      </c>
      <c r="H2" s="14" t="s">
        <v>22</v>
      </c>
    </row>
    <row r="3" spans="1:8" ht="20" customHeight="1" x14ac:dyDescent="0.35">
      <c r="A3" s="16">
        <v>2</v>
      </c>
      <c r="B3" s="17" t="s">
        <v>23</v>
      </c>
      <c r="C3" s="17" t="s">
        <v>24</v>
      </c>
      <c r="D3" s="16">
        <v>85</v>
      </c>
      <c r="E3" s="18">
        <v>60000</v>
      </c>
      <c r="F3" s="17" t="s">
        <v>25</v>
      </c>
      <c r="G3" s="17" t="s">
        <v>26</v>
      </c>
      <c r="H3" s="17" t="s">
        <v>27</v>
      </c>
    </row>
    <row r="4" spans="1:8" ht="20" customHeight="1" x14ac:dyDescent="0.35">
      <c r="A4" s="13">
        <v>3</v>
      </c>
      <c r="B4" s="14" t="s">
        <v>28</v>
      </c>
      <c r="C4" s="14" t="s">
        <v>19</v>
      </c>
      <c r="D4" s="13">
        <v>90</v>
      </c>
      <c r="E4" s="15">
        <v>70000</v>
      </c>
      <c r="F4" s="14" t="s">
        <v>29</v>
      </c>
      <c r="G4" s="14" t="s">
        <v>30</v>
      </c>
      <c r="H4" s="14" t="s">
        <v>31</v>
      </c>
    </row>
    <row r="5" spans="1:8" ht="20" customHeight="1" x14ac:dyDescent="0.35">
      <c r="A5" s="16">
        <v>4</v>
      </c>
      <c r="B5" s="17" t="s">
        <v>32</v>
      </c>
      <c r="C5" s="17" t="s">
        <v>33</v>
      </c>
      <c r="D5" s="16">
        <v>65</v>
      </c>
      <c r="E5" s="18">
        <v>55000</v>
      </c>
      <c r="F5" s="17" t="s">
        <v>34</v>
      </c>
      <c r="G5" s="17" t="s">
        <v>35</v>
      </c>
      <c r="H5" s="17" t="s">
        <v>36</v>
      </c>
    </row>
    <row r="6" spans="1:8" ht="20" customHeight="1" x14ac:dyDescent="0.35">
      <c r="A6" s="13">
        <v>5</v>
      </c>
      <c r="B6" s="14" t="s">
        <v>37</v>
      </c>
      <c r="C6" s="14" t="s">
        <v>24</v>
      </c>
      <c r="D6" s="13">
        <v>88</v>
      </c>
      <c r="E6" s="15">
        <v>62000</v>
      </c>
      <c r="F6" s="14" t="s">
        <v>38</v>
      </c>
      <c r="G6" s="14" t="s">
        <v>39</v>
      </c>
      <c r="H6" s="14" t="s">
        <v>40</v>
      </c>
    </row>
    <row r="7" spans="1:8" ht="20" customHeight="1" x14ac:dyDescent="0.35">
      <c r="A7" s="16">
        <v>6</v>
      </c>
      <c r="B7" s="17" t="s">
        <v>41</v>
      </c>
      <c r="C7" s="17" t="s">
        <v>33</v>
      </c>
      <c r="D7" s="16" t="s">
        <v>42</v>
      </c>
      <c r="E7" s="18">
        <v>58000</v>
      </c>
      <c r="F7" s="17" t="s">
        <v>20</v>
      </c>
      <c r="G7" s="17" t="s">
        <v>43</v>
      </c>
      <c r="H7" s="17" t="s">
        <v>44</v>
      </c>
    </row>
    <row r="8" spans="1:8" ht="20" customHeight="1" x14ac:dyDescent="0.35">
      <c r="A8" s="13">
        <v>7</v>
      </c>
      <c r="B8" s="14" t="s">
        <v>45</v>
      </c>
      <c r="C8" s="14" t="s">
        <v>19</v>
      </c>
      <c r="D8" s="13">
        <v>92</v>
      </c>
      <c r="E8" s="15">
        <v>72000</v>
      </c>
      <c r="F8" s="14" t="s">
        <v>46</v>
      </c>
      <c r="G8" s="14" t="s">
        <v>47</v>
      </c>
      <c r="H8" s="14" t="s">
        <v>48</v>
      </c>
    </row>
    <row r="9" spans="1:8" ht="20" customHeight="1" x14ac:dyDescent="0.35">
      <c r="A9" s="16">
        <v>8</v>
      </c>
      <c r="B9" s="17" t="s">
        <v>42</v>
      </c>
      <c r="C9" s="17" t="s">
        <v>24</v>
      </c>
      <c r="D9" s="16">
        <v>75</v>
      </c>
      <c r="E9" s="18" t="s">
        <v>42</v>
      </c>
      <c r="F9" s="17" t="s">
        <v>25</v>
      </c>
      <c r="G9" s="17" t="s">
        <v>49</v>
      </c>
      <c r="H9" s="17" t="s">
        <v>50</v>
      </c>
    </row>
    <row r="10" spans="1:8" ht="20" customHeight="1" x14ac:dyDescent="0.35">
      <c r="A10" s="13">
        <v>9</v>
      </c>
      <c r="B10" s="14" t="s">
        <v>51</v>
      </c>
      <c r="C10" s="14" t="s">
        <v>33</v>
      </c>
      <c r="D10" s="13">
        <v>80</v>
      </c>
      <c r="E10" s="15">
        <v>61000</v>
      </c>
      <c r="F10" s="14" t="s">
        <v>42</v>
      </c>
      <c r="G10" s="14" t="s">
        <v>52</v>
      </c>
      <c r="H10" s="14" t="s">
        <v>53</v>
      </c>
    </row>
    <row r="11" spans="1:8" ht="20" customHeight="1" x14ac:dyDescent="0.35">
      <c r="A11" s="16">
        <v>10</v>
      </c>
      <c r="B11" s="17" t="s">
        <v>54</v>
      </c>
      <c r="C11" s="17" t="s">
        <v>19</v>
      </c>
      <c r="D11" s="16">
        <v>77</v>
      </c>
      <c r="E11" s="18">
        <v>53000</v>
      </c>
      <c r="F11" s="17" t="s">
        <v>20</v>
      </c>
      <c r="G11" s="17" t="s">
        <v>55</v>
      </c>
      <c r="H11" s="17" t="s">
        <v>56</v>
      </c>
    </row>
    <row r="12" spans="1:8" ht="20" customHeight="1" x14ac:dyDescent="0.35">
      <c r="A12" s="13">
        <v>11</v>
      </c>
      <c r="B12" s="14" t="s">
        <v>57</v>
      </c>
      <c r="C12" s="14" t="s">
        <v>58</v>
      </c>
      <c r="D12" s="13">
        <v>83</v>
      </c>
      <c r="E12" s="15">
        <v>49000</v>
      </c>
      <c r="F12" s="14" t="s">
        <v>59</v>
      </c>
      <c r="G12" s="14" t="s">
        <v>60</v>
      </c>
      <c r="H12" s="14" t="s">
        <v>61</v>
      </c>
    </row>
    <row r="13" spans="1:8" ht="20" customHeight="1" x14ac:dyDescent="0.35">
      <c r="A13" s="16">
        <v>12</v>
      </c>
      <c r="B13" s="17" t="s">
        <v>62</v>
      </c>
      <c r="C13" s="17" t="s">
        <v>58</v>
      </c>
      <c r="D13" s="16">
        <v>91</v>
      </c>
      <c r="E13" s="18">
        <v>68000</v>
      </c>
      <c r="F13" s="17" t="s">
        <v>63</v>
      </c>
      <c r="G13" s="17" t="s">
        <v>64</v>
      </c>
      <c r="H13" s="17" t="s">
        <v>65</v>
      </c>
    </row>
    <row r="14" spans="1:8" ht="20" customHeight="1" x14ac:dyDescent="0.35">
      <c r="A14" s="13">
        <v>13</v>
      </c>
      <c r="B14" s="14" t="s">
        <v>66</v>
      </c>
      <c r="C14" s="14" t="s">
        <v>19</v>
      </c>
      <c r="D14" s="13" t="s">
        <v>42</v>
      </c>
      <c r="E14" s="15">
        <v>64000</v>
      </c>
      <c r="F14" s="14" t="s">
        <v>20</v>
      </c>
      <c r="G14" s="14" t="s">
        <v>67</v>
      </c>
      <c r="H14" s="14" t="s">
        <v>68</v>
      </c>
    </row>
    <row r="15" spans="1:8" ht="20" customHeight="1" x14ac:dyDescent="0.35">
      <c r="A15" s="16">
        <v>14</v>
      </c>
      <c r="B15" s="17" t="s">
        <v>69</v>
      </c>
      <c r="C15" s="17" t="s">
        <v>24</v>
      </c>
      <c r="D15" s="16">
        <v>69</v>
      </c>
      <c r="E15" s="18">
        <v>51000</v>
      </c>
      <c r="F15" s="17" t="s">
        <v>46</v>
      </c>
      <c r="G15" s="17" t="s">
        <v>70</v>
      </c>
      <c r="H15" s="17" t="s">
        <v>71</v>
      </c>
    </row>
    <row r="16" spans="1:8" ht="20" customHeight="1" x14ac:dyDescent="0.35">
      <c r="A16" s="13">
        <v>15</v>
      </c>
      <c r="B16" s="14" t="s">
        <v>72</v>
      </c>
      <c r="C16" s="14" t="s">
        <v>33</v>
      </c>
      <c r="D16" s="13">
        <v>95</v>
      </c>
      <c r="E16" s="15">
        <v>76000</v>
      </c>
      <c r="F16" s="14" t="s">
        <v>25</v>
      </c>
      <c r="G16" s="14" t="s">
        <v>73</v>
      </c>
      <c r="H16" s="14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showGridLines="0" tabSelected="1" zoomScale="53" workbookViewId="0">
      <selection activeCell="D12" sqref="D12"/>
    </sheetView>
  </sheetViews>
  <sheetFormatPr defaultRowHeight="14.5" x14ac:dyDescent="0.35"/>
  <cols>
    <col min="1" max="1" width="9.26953125" bestFit="1" customWidth="1"/>
    <col min="2" max="2" width="12.26953125" bestFit="1" customWidth="1"/>
    <col min="3" max="3" width="51.6328125" bestFit="1" customWidth="1"/>
    <col min="4" max="4" width="24" customWidth="1"/>
    <col min="5" max="5" width="14" customWidth="1"/>
    <col min="6" max="6" width="9" customWidth="1"/>
    <col min="7" max="7" width="24" customWidth="1"/>
    <col min="8" max="8" width="12" hidden="1" customWidth="1"/>
  </cols>
  <sheetData>
    <row r="1" spans="1:8" ht="19.5" x14ac:dyDescent="0.45">
      <c r="A1" s="23" t="s">
        <v>75</v>
      </c>
      <c r="B1" s="22"/>
      <c r="C1" s="22"/>
      <c r="D1" s="22"/>
      <c r="E1" s="22"/>
      <c r="F1" s="22"/>
      <c r="G1" s="22"/>
      <c r="H1" s="22"/>
    </row>
    <row r="3" spans="1:8" x14ac:dyDescent="0.35">
      <c r="A3" s="4" t="s">
        <v>13</v>
      </c>
      <c r="B3" s="5">
        <f>SUM(F9:F30)</f>
        <v>21</v>
      </c>
      <c r="D3" s="4" t="s">
        <v>76</v>
      </c>
      <c r="E3" s="5">
        <f>COUNTIF(E9:E30,"Correct")</f>
        <v>21</v>
      </c>
    </row>
    <row r="4" spans="1:8" x14ac:dyDescent="0.35">
      <c r="A4" s="4" t="s">
        <v>77</v>
      </c>
      <c r="B4" s="5">
        <f>COUNTA(B9:B30)</f>
        <v>22</v>
      </c>
      <c r="D4" s="4" t="s">
        <v>78</v>
      </c>
      <c r="E4" s="5">
        <f>COUNTIF(E9:E30,"Try again")</f>
        <v>0</v>
      </c>
    </row>
    <row r="5" spans="1:8" x14ac:dyDescent="0.35">
      <c r="A5" s="4" t="s">
        <v>79</v>
      </c>
      <c r="B5" s="6">
        <f>IFERROR(B3/B4,0)</f>
        <v>0.95454545454545459</v>
      </c>
      <c r="D5" s="4" t="s">
        <v>80</v>
      </c>
      <c r="E5" s="5">
        <f>COUNTIF(E9:E30,"Fix formula")</f>
        <v>0</v>
      </c>
    </row>
    <row r="8" spans="1:8" ht="29" x14ac:dyDescent="0.35">
      <c r="A8" s="7" t="s">
        <v>81</v>
      </c>
      <c r="B8" s="7" t="s">
        <v>82</v>
      </c>
      <c r="C8" s="7" t="s">
        <v>83</v>
      </c>
      <c r="D8" s="7" t="s">
        <v>84</v>
      </c>
      <c r="E8" s="7" t="s">
        <v>85</v>
      </c>
      <c r="F8" s="7" t="s">
        <v>86</v>
      </c>
      <c r="G8" s="7" t="s">
        <v>87</v>
      </c>
      <c r="H8" s="7" t="s">
        <v>88</v>
      </c>
    </row>
    <row r="9" spans="1:8" ht="36" customHeight="1" x14ac:dyDescent="0.35">
      <c r="A9" s="8">
        <v>1</v>
      </c>
      <c r="B9" s="9" t="s">
        <v>89</v>
      </c>
      <c r="C9" s="8" t="s">
        <v>90</v>
      </c>
      <c r="D9" s="10">
        <f>COUNT(Dataset!D2:D16)</f>
        <v>13</v>
      </c>
      <c r="E9" s="8" t="str">
        <f>IF(LEN(D9)=0,"",IF(ISERROR(D9),"Fix formula",IF(Answer_Key!C9="N",IF(ABS(D9-Answer_Key!B9)&lt;0.000001,"Correct","Try again"),IF(EXACT(D9,Answer_Key!B9),"Correct","Try again"))))</f>
        <v>Correct</v>
      </c>
      <c r="F9" s="8">
        <f t="shared" ref="F9:F30" si="0">IF(E9="","",IF(E9="Correct",1,0))</f>
        <v>1</v>
      </c>
      <c r="G9" s="8" t="s">
        <v>91</v>
      </c>
      <c r="H9" s="11" t="s">
        <v>92</v>
      </c>
    </row>
    <row r="10" spans="1:8" ht="36" customHeight="1" x14ac:dyDescent="0.35">
      <c r="A10" s="8">
        <v>2</v>
      </c>
      <c r="B10" s="9" t="s">
        <v>93</v>
      </c>
      <c r="C10" s="8" t="s">
        <v>94</v>
      </c>
      <c r="D10" s="10">
        <f>COUNTA(Dataset!B2:B16)</f>
        <v>15</v>
      </c>
      <c r="E10" s="8" t="str">
        <f>IF(LEN(D10)=0,"",IF(ISERROR(D10),"Fix formula",IF(Answer_Key!C10="N",IF(ABS(D10-Answer_Key!B10)&lt;0.000001,"Correct","Try again"),IF(EXACT(D10,Answer_Key!B10),"Correct","Try again"))))</f>
        <v>Correct</v>
      </c>
      <c r="F10" s="8">
        <f t="shared" si="0"/>
        <v>1</v>
      </c>
      <c r="G10" s="8" t="s">
        <v>95</v>
      </c>
      <c r="H10" s="11" t="s">
        <v>92</v>
      </c>
    </row>
    <row r="11" spans="1:8" ht="36" customHeight="1" x14ac:dyDescent="0.35">
      <c r="A11" s="8">
        <v>3</v>
      </c>
      <c r="B11" s="9" t="s">
        <v>96</v>
      </c>
      <c r="C11" s="8" t="s">
        <v>97</v>
      </c>
      <c r="D11" s="19">
        <f>COUNTIF(Dataset!C2:C16, "IT")</f>
        <v>5</v>
      </c>
      <c r="E11" s="8"/>
      <c r="F11" s="8" t="str">
        <f t="shared" si="0"/>
        <v/>
      </c>
      <c r="G11" s="8" t="s">
        <v>98</v>
      </c>
      <c r="H11" s="11" t="s">
        <v>92</v>
      </c>
    </row>
    <row r="12" spans="1:8" ht="36" customHeight="1" x14ac:dyDescent="0.35">
      <c r="A12" s="8">
        <v>4</v>
      </c>
      <c r="B12" s="9" t="s">
        <v>99</v>
      </c>
      <c r="C12" s="8" t="s">
        <v>100</v>
      </c>
      <c r="D12" s="10">
        <f>COUNTIFS(Dataset!C2:C16, "HR",Dataset!D2:D16, "&gt;=80")</f>
        <v>2</v>
      </c>
      <c r="E12" s="8" t="str">
        <f>IF(LEN(D12)=0,"",IF(ISERROR(D12),"Fix formula",IF(Answer_Key!C12="N",IF(ABS(D12-Answer_Key!B12)&lt;0.000001,"Correct","Try again"),IF(EXACT(D12,Answer_Key!B12),"Correct","Try again"))))</f>
        <v>Correct</v>
      </c>
      <c r="F12" s="8">
        <f t="shared" si="0"/>
        <v>1</v>
      </c>
      <c r="G12" s="8" t="s">
        <v>101</v>
      </c>
      <c r="H12" s="11" t="s">
        <v>92</v>
      </c>
    </row>
    <row r="13" spans="1:8" ht="36" customHeight="1" x14ac:dyDescent="0.35">
      <c r="A13" s="8">
        <v>5</v>
      </c>
      <c r="B13" s="9" t="s">
        <v>102</v>
      </c>
      <c r="C13" s="8" t="s">
        <v>103</v>
      </c>
      <c r="D13" s="10">
        <f>COUNTBLANK(Dataset!F2:F16)</f>
        <v>1</v>
      </c>
      <c r="E13" s="8" t="str">
        <f>IF(LEN(D13)=0,"",IF(ISERROR(D13),"Fix formula",IF(Answer_Key!C13="N",IF(ABS(D13-Answer_Key!B13)&lt;0.000001,"Correct","Try again"),IF(EXACT(D13,Answer_Key!B13),"Correct","Try again"))))</f>
        <v>Correct</v>
      </c>
      <c r="F13" s="8">
        <f t="shared" si="0"/>
        <v>1</v>
      </c>
      <c r="G13" s="8" t="s">
        <v>104</v>
      </c>
      <c r="H13" s="11" t="s">
        <v>92</v>
      </c>
    </row>
    <row r="14" spans="1:8" ht="36" customHeight="1" x14ac:dyDescent="0.35">
      <c r="A14" s="8">
        <v>6</v>
      </c>
      <c r="B14" s="9" t="s">
        <v>105</v>
      </c>
      <c r="C14" s="8" t="s">
        <v>106</v>
      </c>
      <c r="D14" s="20">
        <f>SUM(Dataset!E2:E16)</f>
        <v>849000</v>
      </c>
      <c r="E14" s="8" t="str">
        <f>IF(LEN(D14)=0,"",IF(ISERROR(D14),"Fix formula",IF(Answer_Key!C14="N",IF(ABS(D14-Answer_Key!B14)&lt;0.000001,"Correct","Try again"),IF(EXACT(D14,Answer_Key!B14),"Correct","Try again"))))</f>
        <v>Correct</v>
      </c>
      <c r="F14" s="8">
        <f t="shared" si="0"/>
        <v>1</v>
      </c>
      <c r="G14" s="8" t="s">
        <v>107</v>
      </c>
      <c r="H14" s="11" t="s">
        <v>92</v>
      </c>
    </row>
    <row r="15" spans="1:8" ht="36" customHeight="1" x14ac:dyDescent="0.35">
      <c r="A15" s="8">
        <v>7</v>
      </c>
      <c r="B15" s="9" t="s">
        <v>108</v>
      </c>
      <c r="C15" s="8" t="s">
        <v>109</v>
      </c>
      <c r="D15" s="10">
        <f>SUMIF(Dataset!C2:C16, "IT", Dataset!E2:E16)</f>
        <v>309000</v>
      </c>
      <c r="E15" s="8" t="str">
        <f>IF(LEN(D15)=0,"",IF(ISERROR(D15),"Fix formula",IF(Answer_Key!C15="N",IF(ABS(D15-Answer_Key!B15)&lt;0.000001,"Correct","Try again"),IF(EXACT(D15,Answer_Key!B15),"Correct","Try again"))))</f>
        <v>Correct</v>
      </c>
      <c r="F15" s="8">
        <f t="shared" si="0"/>
        <v>1</v>
      </c>
      <c r="G15" s="8" t="s">
        <v>110</v>
      </c>
      <c r="H15" s="11" t="s">
        <v>92</v>
      </c>
    </row>
    <row r="16" spans="1:8" ht="36" customHeight="1" x14ac:dyDescent="0.35">
      <c r="A16" s="8">
        <v>8</v>
      </c>
      <c r="B16" s="9" t="s">
        <v>111</v>
      </c>
      <c r="C16" s="8" t="s">
        <v>112</v>
      </c>
      <c r="D16" s="10">
        <f>SUMIFS(Dataset!E2:E16, Dataset!C2:C16, "IT",Dataset!D2:D16, "&gt;=80")</f>
        <v>142000</v>
      </c>
      <c r="E16" s="8" t="str">
        <f>IF(LEN(D16)=0,"",IF(ISERROR(D16),"Fix formula",IF(Answer_Key!C16="N",IF(ABS(D16-Answer_Key!B16)&lt;0.000001,"Correct","Try again"),IF(EXACT(D16,Answer_Key!B16),"Correct","Try again"))))</f>
        <v>Correct</v>
      </c>
      <c r="F16" s="8">
        <f t="shared" si="0"/>
        <v>1</v>
      </c>
      <c r="G16" s="8" t="s">
        <v>113</v>
      </c>
      <c r="H16" s="11" t="s">
        <v>92</v>
      </c>
    </row>
    <row r="17" spans="1:8" ht="36" customHeight="1" x14ac:dyDescent="0.35">
      <c r="A17" s="8">
        <v>9</v>
      </c>
      <c r="B17" s="9" t="s">
        <v>114</v>
      </c>
      <c r="C17" s="8" t="s">
        <v>115</v>
      </c>
      <c r="D17" s="10">
        <f>AVERAGE(Dataset!D2:D16)</f>
        <v>82.15384615384616</v>
      </c>
      <c r="E17" s="8" t="str">
        <f>IF(LEN(D17)=0,"",IF(ISERROR(D17),"Fix formula",IF(Answer_Key!C17="N",IF(ABS(D17-Answer_Key!B17)&lt;0.000001,"Correct","Try again"),IF(EXACT(D17,Answer_Key!B17),"Correct","Try again"))))</f>
        <v>Correct</v>
      </c>
      <c r="F17" s="8">
        <f t="shared" si="0"/>
        <v>1</v>
      </c>
      <c r="G17" s="8" t="s">
        <v>91</v>
      </c>
      <c r="H17" s="11" t="s">
        <v>92</v>
      </c>
    </row>
    <row r="18" spans="1:8" ht="36" customHeight="1" x14ac:dyDescent="0.35">
      <c r="A18" s="8">
        <v>10</v>
      </c>
      <c r="B18" s="9" t="s">
        <v>116</v>
      </c>
      <c r="C18" s="8" t="s">
        <v>117</v>
      </c>
      <c r="D18" s="10">
        <f>AVERAGEIF(Dataset!C2:C16, "FINANCE", Dataset!D2:D16)</f>
        <v>80</v>
      </c>
      <c r="E18" s="8" t="str">
        <f>IF(LEN(D18)=0,"",IF(ISERROR(D18),"Fix formula",IF(Answer_Key!C18="N",IF(ABS(D18-Answer_Key!B18)&lt;0.000001,"Correct","Try again"),IF(EXACT(D18,Answer_Key!B18),"Correct","Try again"))))</f>
        <v>Correct</v>
      </c>
      <c r="F18" s="8">
        <f t="shared" si="0"/>
        <v>1</v>
      </c>
      <c r="G18" s="8" t="s">
        <v>118</v>
      </c>
      <c r="H18" s="11" t="s">
        <v>92</v>
      </c>
    </row>
    <row r="19" spans="1:8" ht="36" customHeight="1" x14ac:dyDescent="0.35">
      <c r="A19" s="8">
        <v>11</v>
      </c>
      <c r="B19" s="9" t="s">
        <v>119</v>
      </c>
      <c r="C19" s="8" t="s">
        <v>120</v>
      </c>
      <c r="D19" s="10">
        <f>MIN(Dataset!D2:D16)</f>
        <v>65</v>
      </c>
      <c r="E19" s="8" t="str">
        <f>IF(LEN(D19)=0,"",IF(ISERROR(D19),"Fix formula",IF(Answer_Key!C19="N",IF(ABS(D19-Answer_Key!B19)&lt;0.000001,"Correct","Try again"),IF(EXACT(D19,Answer_Key!B19),"Correct","Try again"))))</f>
        <v>Correct</v>
      </c>
      <c r="F19" s="8">
        <f t="shared" si="0"/>
        <v>1</v>
      </c>
      <c r="G19" s="8" t="s">
        <v>91</v>
      </c>
      <c r="H19" s="11" t="s">
        <v>92</v>
      </c>
    </row>
    <row r="20" spans="1:8" ht="36" customHeight="1" x14ac:dyDescent="0.35">
      <c r="A20" s="8">
        <v>12</v>
      </c>
      <c r="B20" s="9" t="s">
        <v>121</v>
      </c>
      <c r="C20" s="8" t="s">
        <v>122</v>
      </c>
      <c r="D20" s="10">
        <f>MAX(Dataset!D2:D16)</f>
        <v>95</v>
      </c>
      <c r="E20" s="8" t="str">
        <f>IF(LEN(D20)=0,"",IF(ISERROR(D20),"Fix formula",IF(Answer_Key!C20="N",IF(ABS(D20-Answer_Key!B20)&lt;0.000001,"Correct","Try again"),IF(EXACT(D20,Answer_Key!B20),"Correct","Try again"))))</f>
        <v>Correct</v>
      </c>
      <c r="F20" s="8">
        <f t="shared" si="0"/>
        <v>1</v>
      </c>
      <c r="G20" s="8" t="s">
        <v>91</v>
      </c>
      <c r="H20" s="11" t="s">
        <v>92</v>
      </c>
    </row>
    <row r="21" spans="1:8" ht="36" customHeight="1" x14ac:dyDescent="0.35">
      <c r="A21" s="8">
        <v>13</v>
      </c>
      <c r="B21" s="9" t="s">
        <v>123</v>
      </c>
      <c r="C21" s="8" t="s">
        <v>124</v>
      </c>
      <c r="D21" s="10" t="str">
        <f>_xlfn.CONCAT(Dataset!B2, " - ", Dataset!F2)</f>
        <v>john doe - lagos</v>
      </c>
      <c r="E21" s="8" t="str">
        <f>IF(LEN(D21)=0,"",IF(ISERROR(D21),"Fix formula",IF(Answer_Key!C21="N",IF(ABS(D21-Answer_Key!B21)&lt;0.000001,"Correct","Try again"),IF(EXACT(D21,Answer_Key!B21),"Correct","Try again"))))</f>
        <v>Correct</v>
      </c>
      <c r="F21" s="8">
        <f t="shared" si="0"/>
        <v>1</v>
      </c>
      <c r="G21" s="8" t="s">
        <v>125</v>
      </c>
      <c r="H21" s="11" t="s">
        <v>126</v>
      </c>
    </row>
    <row r="22" spans="1:8" ht="36" customHeight="1" x14ac:dyDescent="0.35">
      <c r="A22" s="8">
        <v>14</v>
      </c>
      <c r="B22" s="9" t="s">
        <v>127</v>
      </c>
      <c r="C22" s="8" t="s">
        <v>128</v>
      </c>
      <c r="D22" s="10">
        <f>LEN(Dataset!B3)</f>
        <v>8</v>
      </c>
      <c r="E22" s="8" t="str">
        <f>IF(LEN(D22)=0,"",IF(ISERROR(D22),"Fix formula",IF(Answer_Key!C22="N",IF(ABS(D22-Answer_Key!B22)&lt;0.000001,"Correct","Try again"),IF(EXACT(D22,Answer_Key!B22),"Correct","Try again"))))</f>
        <v>Correct</v>
      </c>
      <c r="F22" s="8">
        <f t="shared" si="0"/>
        <v>1</v>
      </c>
      <c r="G22" s="8" t="s">
        <v>129</v>
      </c>
      <c r="H22" s="11" t="s">
        <v>92</v>
      </c>
    </row>
    <row r="23" spans="1:8" ht="36" customHeight="1" x14ac:dyDescent="0.35">
      <c r="A23" s="8">
        <v>15</v>
      </c>
      <c r="B23" s="9" t="s">
        <v>130</v>
      </c>
      <c r="C23" s="8" t="s">
        <v>131</v>
      </c>
      <c r="D23" s="10" t="str">
        <f>LOWER(Dataset!B4)</f>
        <v>peter obi</v>
      </c>
      <c r="E23" s="8" t="str">
        <f>IF(LEN(D23)=0,"",IF(ISERROR(D23),"Fix formula",IF(Answer_Key!C23="N",IF(ABS(D23-Answer_Key!B23)&lt;0.000001,"Correct","Try again"),IF(EXACT(D23,Answer_Key!B23),"Correct","Try again"))))</f>
        <v>Correct</v>
      </c>
      <c r="F23" s="8">
        <f t="shared" si="0"/>
        <v>1</v>
      </c>
      <c r="G23" s="8" t="s">
        <v>132</v>
      </c>
      <c r="H23" s="11" t="s">
        <v>126</v>
      </c>
    </row>
    <row r="24" spans="1:8" ht="36" customHeight="1" x14ac:dyDescent="0.35">
      <c r="A24" s="8">
        <v>16</v>
      </c>
      <c r="B24" s="9" t="s">
        <v>133</v>
      </c>
      <c r="C24" s="8" t="s">
        <v>134</v>
      </c>
      <c r="D24" s="10" t="str">
        <f>UPPER(Dataset!F5)</f>
        <v>PORT HARCOURT</v>
      </c>
      <c r="E24" s="8" t="str">
        <f>IF(LEN(D24)=0,"",IF(ISERROR(D24),"Fix formula",IF(Answer_Key!C24="N",IF(ABS(D24-Answer_Key!B24)&lt;0.000001,"Correct","Try again"),IF(EXACT(D24,Answer_Key!B24),"Correct","Try again"))))</f>
        <v>Correct</v>
      </c>
      <c r="F24" s="8">
        <f t="shared" si="0"/>
        <v>1</v>
      </c>
      <c r="G24" s="8" t="s">
        <v>135</v>
      </c>
      <c r="H24" s="11" t="s">
        <v>126</v>
      </c>
    </row>
    <row r="25" spans="1:8" ht="36" customHeight="1" x14ac:dyDescent="0.35">
      <c r="A25" s="8">
        <v>17</v>
      </c>
      <c r="B25" s="9" t="s">
        <v>136</v>
      </c>
      <c r="C25" s="8" t="s">
        <v>137</v>
      </c>
      <c r="D25" s="10" t="str">
        <f>PROPER(Dataset!B7)</f>
        <v>Linda Joy</v>
      </c>
      <c r="E25" s="8" t="str">
        <f>IF(LEN(D25)=0,"",IF(ISERROR(D25),"Fix formula",IF(Answer_Key!C25="N",IF(ABS(D25-Answer_Key!B25)&lt;0.000001,"Correct","Try again"),IF(EXACT(D25,Answer_Key!B25),"Correct","Try again"))))</f>
        <v>Correct</v>
      </c>
      <c r="F25" s="8">
        <f t="shared" si="0"/>
        <v>1</v>
      </c>
      <c r="G25" s="8" t="s">
        <v>138</v>
      </c>
      <c r="H25" s="11" t="s">
        <v>126</v>
      </c>
    </row>
    <row r="26" spans="1:8" ht="36" customHeight="1" x14ac:dyDescent="0.35">
      <c r="A26" s="8">
        <v>18</v>
      </c>
      <c r="B26" s="9" t="s">
        <v>139</v>
      </c>
      <c r="C26" s="8" t="s">
        <v>140</v>
      </c>
      <c r="D26" s="10" t="str">
        <f>TRIM(Dataset!G2)</f>
        <v>john doe</v>
      </c>
      <c r="E26" s="8" t="str">
        <f>IF(LEN(D26)=0,"",IF(ISERROR(D26),"Fix formula",IF(Answer_Key!C26="N",IF(ABS(D26-Answer_Key!B26)&lt;0.000001,"Correct","Try again"),IF(EXACT(D26,Answer_Key!B26),"Correct","Try again"))))</f>
        <v>Correct</v>
      </c>
      <c r="F26" s="8">
        <f t="shared" si="0"/>
        <v>1</v>
      </c>
      <c r="G26" s="8" t="s">
        <v>141</v>
      </c>
      <c r="H26" s="11" t="s">
        <v>126</v>
      </c>
    </row>
    <row r="27" spans="1:8" ht="36" customHeight="1" x14ac:dyDescent="0.35">
      <c r="A27" s="8">
        <v>19</v>
      </c>
      <c r="B27" s="9" t="s">
        <v>142</v>
      </c>
      <c r="C27" s="8" t="s">
        <v>143</v>
      </c>
      <c r="D27" s="10" t="str">
        <f>LEFT(Dataset!H2, 4)</f>
        <v>PRD-</v>
      </c>
      <c r="E27" s="8" t="str">
        <f>IF(LEN(D27)=0,"",IF(ISERROR(D27),"Fix formula",IF(Answer_Key!C27="N",IF(ABS(D27-Answer_Key!B27)&lt;0.000001,"Correct","Try again"),IF(EXACT(D27,Answer_Key!B27),"Correct","Try again"))))</f>
        <v>Correct</v>
      </c>
      <c r="F27" s="8">
        <f t="shared" si="0"/>
        <v>1</v>
      </c>
      <c r="G27" s="8" t="s">
        <v>144</v>
      </c>
      <c r="H27" s="11" t="s">
        <v>126</v>
      </c>
    </row>
    <row r="28" spans="1:8" ht="36" customHeight="1" x14ac:dyDescent="0.35">
      <c r="A28" s="8">
        <v>20</v>
      </c>
      <c r="B28" s="9" t="s">
        <v>145</v>
      </c>
      <c r="C28" s="8" t="s">
        <v>146</v>
      </c>
      <c r="D28" s="10" t="str">
        <f>RIGHT(Dataset!H3, 3)</f>
        <v>ABJ</v>
      </c>
      <c r="E28" s="8" t="str">
        <f>IF(LEN(D28)=0,"",IF(ISERROR(D28),"Fix formula",IF(Answer_Key!C28="N",IF(ABS(D28-Answer_Key!B28)&lt;0.000001,"Correct","Try again"),IF(EXACT(D28,Answer_Key!B28),"Correct","Try again"))))</f>
        <v>Correct</v>
      </c>
      <c r="F28" s="8">
        <f t="shared" si="0"/>
        <v>1</v>
      </c>
      <c r="G28" s="8" t="s">
        <v>147</v>
      </c>
      <c r="H28" s="11" t="s">
        <v>126</v>
      </c>
    </row>
    <row r="29" spans="1:8" ht="36" customHeight="1" x14ac:dyDescent="0.35">
      <c r="A29" s="8">
        <v>21</v>
      </c>
      <c r="B29" s="9" t="s">
        <v>148</v>
      </c>
      <c r="C29" s="8" t="s">
        <v>149</v>
      </c>
      <c r="D29" s="10" t="str">
        <f>MID(Dataset!H4, 5, 3)</f>
        <v>305</v>
      </c>
      <c r="E29" s="8" t="str">
        <f>IF(LEN(D29)=0,"",IF(ISERROR(D29),"Fix formula",IF(Answer_Key!C29="N",IF(ABS(D29-Answer_Key!B29)&lt;0.000001,"Correct","Try again"),IF(EXACT(D29,Answer_Key!B29),"Correct","Try again"))))</f>
        <v>Correct</v>
      </c>
      <c r="F29" s="8">
        <f t="shared" si="0"/>
        <v>1</v>
      </c>
      <c r="G29" s="8" t="s">
        <v>150</v>
      </c>
      <c r="H29" s="11" t="s">
        <v>126</v>
      </c>
    </row>
    <row r="30" spans="1:8" x14ac:dyDescent="0.35">
      <c r="A30" s="8">
        <v>22</v>
      </c>
      <c r="B30" s="9" t="s">
        <v>151</v>
      </c>
      <c r="C30" s="8" t="s">
        <v>152</v>
      </c>
      <c r="D30" s="10">
        <f>FIND("-",Dataset!H2)</f>
        <v>4</v>
      </c>
      <c r="E30" s="8" t="str">
        <f>IF(LEN(D30)=0,"",IF(ISERROR(D30),"Fix formula",IF(Answer_Key!C30="N",IF(ABS(D30-Answer_Key!B30)&lt;0.000001,"Correct","Try again"),IF(EXACT(D30,Answer_Key!B30),"Correct","Try again"))))</f>
        <v>Correct</v>
      </c>
      <c r="F30" s="8">
        <f t="shared" si="0"/>
        <v>1</v>
      </c>
      <c r="G30" s="8" t="s">
        <v>153</v>
      </c>
      <c r="H30" s="11" t="s">
        <v>92</v>
      </c>
    </row>
    <row r="33" spans="1:4" x14ac:dyDescent="0.35">
      <c r="A33" s="21" t="s">
        <v>154</v>
      </c>
      <c r="B33" s="22"/>
      <c r="C33" s="22"/>
      <c r="D33" s="22"/>
    </row>
  </sheetData>
  <mergeCells count="2">
    <mergeCell ref="A33:D33"/>
    <mergeCell ref="A1:H1"/>
  </mergeCells>
  <conditionalFormatting sqref="E9:E30">
    <cfRule type="expression" dxfId="3" priority="1">
      <formula>E9="Correct"</formula>
    </cfRule>
    <cfRule type="expression" dxfId="2" priority="2">
      <formula>E9="Try again"</formula>
    </cfRule>
    <cfRule type="expression" dxfId="1" priority="3">
      <formula>E9="Fix formula"</formula>
    </cfRule>
  </conditionalFormatting>
  <conditionalFormatting sqref="F9:F30">
    <cfRule type="expression" dxfId="0" priority="4">
      <formula>F9=1</formula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"/>
  <sheetViews>
    <sheetView showGridLines="0" workbookViewId="0">
      <selection activeCell="A7" sqref="A7:XFD7"/>
    </sheetView>
  </sheetViews>
  <sheetFormatPr defaultRowHeight="14.5" x14ac:dyDescent="0.35"/>
  <cols>
    <col min="1" max="1" width="14" customWidth="1"/>
    <col min="2" max="2" width="24" customWidth="1"/>
    <col min="3" max="3" width="8" customWidth="1"/>
  </cols>
  <sheetData>
    <row r="1" spans="1:3" x14ac:dyDescent="0.35">
      <c r="A1" s="12" t="s">
        <v>82</v>
      </c>
      <c r="B1" s="12" t="s">
        <v>155</v>
      </c>
      <c r="C1" s="12" t="s">
        <v>156</v>
      </c>
    </row>
    <row r="9" spans="1:3" x14ac:dyDescent="0.35">
      <c r="A9" t="s">
        <v>89</v>
      </c>
      <c r="B9">
        <f>COUNT(Dataset!D2:D16)</f>
        <v>13</v>
      </c>
      <c r="C9" t="s">
        <v>92</v>
      </c>
    </row>
    <row r="10" spans="1:3" x14ac:dyDescent="0.35">
      <c r="A10" t="s">
        <v>93</v>
      </c>
      <c r="B10">
        <f>COUNTA(Dataset!B2:B16)</f>
        <v>15</v>
      </c>
      <c r="C10" t="s">
        <v>92</v>
      </c>
    </row>
    <row r="11" spans="1:3" x14ac:dyDescent="0.35">
      <c r="A11" t="s">
        <v>96</v>
      </c>
      <c r="B11">
        <f>COUNTIF(Dataset!C2:C16,"IT")</f>
        <v>5</v>
      </c>
      <c r="C11" t="s">
        <v>92</v>
      </c>
    </row>
    <row r="12" spans="1:3" x14ac:dyDescent="0.35">
      <c r="A12" t="s">
        <v>99</v>
      </c>
      <c r="B12">
        <f>COUNTIFS(Dataset!C2:C16,"HR",Dataset!D2:D16,"&gt;=80")</f>
        <v>2</v>
      </c>
      <c r="C12" t="s">
        <v>92</v>
      </c>
    </row>
    <row r="13" spans="1:3" x14ac:dyDescent="0.35">
      <c r="A13" t="s">
        <v>102</v>
      </c>
      <c r="B13">
        <f>COUNTBLANK(Dataset!F2:F16)</f>
        <v>1</v>
      </c>
      <c r="C13" t="s">
        <v>92</v>
      </c>
    </row>
    <row r="14" spans="1:3" x14ac:dyDescent="0.35">
      <c r="A14" t="s">
        <v>105</v>
      </c>
      <c r="B14">
        <f>SUM(Dataset!E2:E16)</f>
        <v>849000</v>
      </c>
      <c r="C14" t="s">
        <v>92</v>
      </c>
    </row>
    <row r="15" spans="1:3" x14ac:dyDescent="0.35">
      <c r="A15" t="s">
        <v>108</v>
      </c>
      <c r="B15">
        <f>SUMIF(Dataset!C2:C16,"IT",Dataset!E2:E16)</f>
        <v>309000</v>
      </c>
      <c r="C15" t="s">
        <v>92</v>
      </c>
    </row>
    <row r="16" spans="1:3" x14ac:dyDescent="0.35">
      <c r="A16" t="s">
        <v>111</v>
      </c>
      <c r="B16">
        <f>SUMIFS(Dataset!E2:E16,Dataset!C2:C16,"IT",Dataset!D2:D16,"&gt;=80")</f>
        <v>142000</v>
      </c>
      <c r="C16" t="s">
        <v>92</v>
      </c>
    </row>
    <row r="17" spans="1:3" x14ac:dyDescent="0.35">
      <c r="A17" t="s">
        <v>114</v>
      </c>
      <c r="B17">
        <f>AVERAGE(Dataset!D2:D16)</f>
        <v>82.15384615384616</v>
      </c>
      <c r="C17" t="s">
        <v>92</v>
      </c>
    </row>
    <row r="18" spans="1:3" x14ac:dyDescent="0.35">
      <c r="A18" t="s">
        <v>116</v>
      </c>
      <c r="B18">
        <f>AVERAGEIF(Dataset!C2:C16,"Finance",Dataset!D2:D16)</f>
        <v>80</v>
      </c>
      <c r="C18" t="s">
        <v>92</v>
      </c>
    </row>
    <row r="19" spans="1:3" x14ac:dyDescent="0.35">
      <c r="A19" t="s">
        <v>119</v>
      </c>
      <c r="B19">
        <f>MIN(Dataset!D2:D16)</f>
        <v>65</v>
      </c>
      <c r="C19" t="s">
        <v>92</v>
      </c>
    </row>
    <row r="20" spans="1:3" x14ac:dyDescent="0.35">
      <c r="A20" t="s">
        <v>121</v>
      </c>
      <c r="B20">
        <f>MAX(Dataset!D2:D16)</f>
        <v>95</v>
      </c>
      <c r="C20" t="s">
        <v>92</v>
      </c>
    </row>
    <row r="21" spans="1:3" x14ac:dyDescent="0.35">
      <c r="A21" t="s">
        <v>123</v>
      </c>
      <c r="B21" t="str">
        <f>Dataset!B2&amp;" - "&amp;Dataset!F2</f>
        <v>john doe - lagos</v>
      </c>
      <c r="C21" t="s">
        <v>126</v>
      </c>
    </row>
    <row r="22" spans="1:3" x14ac:dyDescent="0.35">
      <c r="A22" t="s">
        <v>127</v>
      </c>
      <c r="B22">
        <f>LEN(Dataset!B3)</f>
        <v>8</v>
      </c>
      <c r="C22" t="s">
        <v>92</v>
      </c>
    </row>
    <row r="23" spans="1:3" x14ac:dyDescent="0.35">
      <c r="A23" t="s">
        <v>130</v>
      </c>
      <c r="B23" t="str">
        <f>LOWER(Dataset!B4)</f>
        <v>peter obi</v>
      </c>
      <c r="C23" t="s">
        <v>126</v>
      </c>
    </row>
    <row r="24" spans="1:3" x14ac:dyDescent="0.35">
      <c r="A24" t="s">
        <v>133</v>
      </c>
      <c r="B24" t="str">
        <f>UPPER(Dataset!F5)</f>
        <v>PORT HARCOURT</v>
      </c>
      <c r="C24" t="s">
        <v>126</v>
      </c>
    </row>
    <row r="25" spans="1:3" x14ac:dyDescent="0.35">
      <c r="A25" t="s">
        <v>136</v>
      </c>
      <c r="B25" t="str">
        <f>PROPER(Dataset!B7)</f>
        <v>Linda Joy</v>
      </c>
      <c r="C25" t="s">
        <v>126</v>
      </c>
    </row>
    <row r="26" spans="1:3" x14ac:dyDescent="0.35">
      <c r="A26" t="s">
        <v>139</v>
      </c>
      <c r="B26" t="str">
        <f>TRIM(Dataset!G2)</f>
        <v>john doe</v>
      </c>
      <c r="C26" t="s">
        <v>126</v>
      </c>
    </row>
    <row r="27" spans="1:3" x14ac:dyDescent="0.35">
      <c r="A27" t="s">
        <v>142</v>
      </c>
      <c r="B27" t="str">
        <f>LEFT(Dataset!H2,4)</f>
        <v>PRD-</v>
      </c>
      <c r="C27" t="s">
        <v>126</v>
      </c>
    </row>
    <row r="28" spans="1:3" x14ac:dyDescent="0.35">
      <c r="A28" t="s">
        <v>145</v>
      </c>
      <c r="B28" t="str">
        <f>RIGHT(Dataset!H3,3)</f>
        <v>ABJ</v>
      </c>
      <c r="C28" t="s">
        <v>126</v>
      </c>
    </row>
    <row r="29" spans="1:3" x14ac:dyDescent="0.35">
      <c r="A29" t="s">
        <v>148</v>
      </c>
      <c r="B29" t="str">
        <f>MID(Dataset!H4,5,3)</f>
        <v>305</v>
      </c>
      <c r="C29" t="s">
        <v>126</v>
      </c>
    </row>
    <row r="30" spans="1:3" x14ac:dyDescent="0.35">
      <c r="A30" t="s">
        <v>151</v>
      </c>
      <c r="B30">
        <f>FIND("-",Dataset!H2)</f>
        <v>4</v>
      </c>
      <c r="C30" t="s">
        <v>92</v>
      </c>
    </row>
  </sheetData>
  <sheetProtection algorithmName="SHA-512" hashValue="xb8rHkUksmWzfNQjcxDDgXK+20bZmBkbbSFtDHqViicVn4Aq3pIonvxeTq+/MaiVIPxq7MdnTlN2GqdeAW15pg==" saltValue="4AjbBh3jHQMuJULbgdB9XA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Dataset</vt:lpstr>
      <vt:lpstr>Practice</vt:lpstr>
      <vt:lpstr>Answer_Key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Chibuzo</dc:creator>
  <cp:lastModifiedBy>chibuzo</cp:lastModifiedBy>
  <dcterms:modified xsi:type="dcterms:W3CDTF">2026-04-28T11:51:08Z</dcterms:modified>
</cp:coreProperties>
</file>