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\Documents\EXCEL PROJECT\"/>
    </mc:Choice>
  </mc:AlternateContent>
  <xr:revisionPtr revIDLastSave="0" documentId="13_ncr:1_{7E52A59D-4A58-4133-A55B-A58088DE3AE1}" xr6:coauthVersionLast="47" xr6:coauthVersionMax="47" xr10:uidLastSave="{00000000-0000-0000-0000-000000000000}"/>
  <bookViews>
    <workbookView xWindow="-110" yWindow="-110" windowWidth="19420" windowHeight="10300" tabRatio="743" activeTab="4" xr2:uid="{086F126A-7C03-4A28-8347-2CFA139776DC}"/>
  </bookViews>
  <sheets>
    <sheet name="Names of Students" sheetId="7" r:id="rId1"/>
    <sheet name="English Language" sheetId="5" r:id="rId2"/>
    <sheet name="Mathematics" sheetId="1" r:id="rId3"/>
    <sheet name="Basic Science" sheetId="3" r:id="rId4"/>
    <sheet name="RESULT SHEET" sheetId="2" r:id="rId5"/>
  </sheets>
  <definedNames>
    <definedName name="position">_xlfn.XLOOKUP('RESULT SHEET'!XEW1048561,_xlfn.ANCHORARRAY(#REF!),#REF!)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H14" i="2"/>
  <c r="E14" i="2"/>
  <c r="F14" i="2"/>
  <c r="G14" i="2"/>
  <c r="D14" i="2"/>
  <c r="C14" i="2"/>
  <c r="C12" i="2" a="1"/>
  <c r="C12" i="2" s="1"/>
  <c r="I5" i="3"/>
  <c r="I6" i="3"/>
  <c r="I7" i="3"/>
  <c r="I8" i="3"/>
  <c r="I9" i="3"/>
  <c r="I10" i="3"/>
  <c r="I11" i="3"/>
  <c r="I12" i="3"/>
  <c r="I4" i="3"/>
  <c r="I5" i="1"/>
  <c r="I6" i="1"/>
  <c r="I7" i="1"/>
  <c r="I8" i="1"/>
  <c r="I9" i="1"/>
  <c r="I10" i="1"/>
  <c r="I11" i="1"/>
  <c r="I12" i="1"/>
  <c r="I4" i="1"/>
  <c r="I5" i="5"/>
  <c r="I6" i="5"/>
  <c r="I7" i="5"/>
  <c r="I8" i="5"/>
  <c r="I9" i="5"/>
  <c r="I10" i="5"/>
  <c r="I11" i="5"/>
  <c r="I12" i="5"/>
  <c r="I4" i="5"/>
  <c r="H5" i="3"/>
  <c r="H6" i="3"/>
  <c r="H7" i="3"/>
  <c r="H8" i="3"/>
  <c r="H9" i="3"/>
  <c r="H10" i="3"/>
  <c r="H11" i="3"/>
  <c r="H12" i="3"/>
  <c r="H4" i="3"/>
  <c r="H5" i="1"/>
  <c r="H6" i="1"/>
  <c r="H7" i="1"/>
  <c r="H8" i="1"/>
  <c r="H9" i="1"/>
  <c r="H10" i="1"/>
  <c r="H11" i="1"/>
  <c r="H12" i="1"/>
  <c r="H4" i="1"/>
  <c r="H5" i="5"/>
  <c r="H6" i="5"/>
  <c r="H7" i="5"/>
  <c r="H8" i="5"/>
  <c r="H9" i="5"/>
  <c r="H10" i="5"/>
  <c r="H11" i="5"/>
  <c r="H12" i="5"/>
  <c r="H4" i="5"/>
  <c r="G5" i="3"/>
  <c r="G6" i="3"/>
  <c r="G7" i="3"/>
  <c r="G8" i="3"/>
  <c r="G9" i="3"/>
  <c r="G10" i="3"/>
  <c r="G11" i="3"/>
  <c r="G12" i="3"/>
  <c r="G4" i="3"/>
  <c r="G5" i="1"/>
  <c r="G6" i="1"/>
  <c r="G7" i="1"/>
  <c r="G8" i="1"/>
  <c r="G9" i="1"/>
  <c r="G10" i="1"/>
  <c r="G11" i="1"/>
  <c r="G12" i="1"/>
  <c r="G4" i="1"/>
  <c r="G5" i="5"/>
  <c r="G6" i="5"/>
  <c r="G7" i="5"/>
  <c r="G8" i="5"/>
  <c r="G9" i="5"/>
  <c r="G10" i="5"/>
  <c r="G11" i="5"/>
  <c r="G12" i="5"/>
  <c r="G4" i="5"/>
  <c r="C13" i="2" a="1"/>
  <c r="C13" i="2" s="1"/>
  <c r="C5" i="2"/>
  <c r="G23" i="2" l="1"/>
  <c r="C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<sst xmlns="http://schemas.openxmlformats.org/spreadsheetml/2006/main" count="160" uniqueCount="68">
  <si>
    <t>S/N</t>
  </si>
  <si>
    <t>Name</t>
  </si>
  <si>
    <t>Mathematics</t>
  </si>
  <si>
    <t>Test 1</t>
  </si>
  <si>
    <t>Test 2</t>
  </si>
  <si>
    <t>Exam</t>
  </si>
  <si>
    <t>Total</t>
  </si>
  <si>
    <t>Victor Okafor</t>
  </si>
  <si>
    <t>Victor Omenma</t>
  </si>
  <si>
    <t>Grace Okpara</t>
  </si>
  <si>
    <t>Michael Okoro</t>
  </si>
  <si>
    <t>Christiana Gabriel</t>
  </si>
  <si>
    <t>Gabriel Ogbe</t>
  </si>
  <si>
    <t>Shola Sholati</t>
  </si>
  <si>
    <t>Kemi Sola</t>
  </si>
  <si>
    <t>Tutu Adegun</t>
  </si>
  <si>
    <t>Position</t>
  </si>
  <si>
    <t>English Language</t>
  </si>
  <si>
    <t>Basic Science</t>
  </si>
  <si>
    <t>SUBJECTS</t>
  </si>
  <si>
    <t>TEST 1</t>
  </si>
  <si>
    <t>TEST 2</t>
  </si>
  <si>
    <t>EXAM</t>
  </si>
  <si>
    <t>TOTAL</t>
  </si>
  <si>
    <t>POSITION</t>
  </si>
  <si>
    <t>MOTTO: SHAPING THE FUTURE THROUGH TECHNOLOGY</t>
  </si>
  <si>
    <t>SESSION</t>
  </si>
  <si>
    <t>GENDER</t>
  </si>
  <si>
    <t>2025/2026</t>
  </si>
  <si>
    <t>NAME OF STUDENTS</t>
  </si>
  <si>
    <t>Grade</t>
  </si>
  <si>
    <t>GRADE</t>
  </si>
  <si>
    <t>KEY TO GRADING</t>
  </si>
  <si>
    <t>A = 70% &amp; ABOVE</t>
  </si>
  <si>
    <t>B = 60% - 69%</t>
  </si>
  <si>
    <t>C = 50 - 59%</t>
  </si>
  <si>
    <t>D = 40 - 49%</t>
  </si>
  <si>
    <t>E = 0 - 39%</t>
  </si>
  <si>
    <t>KEY TO RATING</t>
  </si>
  <si>
    <t>A = EXCELLENT</t>
  </si>
  <si>
    <t>B = VERY GOOD</t>
  </si>
  <si>
    <t>C = GOOD</t>
  </si>
  <si>
    <t>D = PASS</t>
  </si>
  <si>
    <t>E = POOR</t>
  </si>
  <si>
    <t>Sex</t>
  </si>
  <si>
    <t xml:space="preserve"> </t>
  </si>
  <si>
    <t>Instructor's Name</t>
  </si>
  <si>
    <t>Subject:</t>
  </si>
  <si>
    <t>Idama Kingsley</t>
  </si>
  <si>
    <t>Basic Technology</t>
  </si>
  <si>
    <t>Computer Science</t>
  </si>
  <si>
    <t>History</t>
  </si>
  <si>
    <t>Social Studies</t>
  </si>
  <si>
    <t>Civic Education</t>
  </si>
  <si>
    <t>Home Economics</t>
  </si>
  <si>
    <t>Literature in English</t>
  </si>
  <si>
    <t>F</t>
  </si>
  <si>
    <t>M</t>
  </si>
  <si>
    <t>TOTAL SCORE</t>
  </si>
  <si>
    <t>AVERAGE SCORE</t>
  </si>
  <si>
    <t>ATTENDANCE</t>
  </si>
  <si>
    <t xml:space="preserve">OJB ACADEMY    </t>
  </si>
  <si>
    <t>ADDRESS: INDEPENDENCE LAYOUT, 
ENUGU NORTH, ENUGU STATE</t>
  </si>
  <si>
    <t>NOTES:</t>
  </si>
  <si>
    <t>CLASS</t>
  </si>
  <si>
    <t>JSS2</t>
  </si>
  <si>
    <t>Form Master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</si>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</sst>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/>
      <top style="thin">
        <color indexed="64"/>
      </top>
      <bottom style="thin">
        <color rgb="FF002060"/>
      </bottom>
      <diagonal/>
    </border>
    <border>
      <left/>
      <right/>
      <top style="thin">
        <color indexed="64"/>
      </top>
      <bottom style="thin">
        <color rgb="FF002060"/>
      </bottom>
      <diagonal/>
    </border>
    <border>
      <left/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22" xfId="0" applyFill="1" applyBorder="1"/>
    <xf numFmtId="0" fontId="1" fillId="3" borderId="0" xfId="0" applyFont="1" applyFill="1"/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0" borderId="0" xfId="0" applyFont="1"/>
    <xf numFmtId="0" fontId="4" fillId="0" borderId="11" xfId="0" applyFont="1" applyBorder="1" applyAlignment="1">
      <alignment horizontal="center"/>
    </xf>
    <xf numFmtId="0" fontId="5" fillId="0" borderId="12" xfId="0" applyFont="1" applyBorder="1" applyAlignment="1">
      <alignment vertical="center"/>
    </xf>
    <xf numFmtId="0" fontId="6" fillId="0" borderId="12" xfId="0" applyFont="1" applyBorder="1"/>
    <xf numFmtId="0" fontId="4" fillId="0" borderId="8" xfId="0" applyFont="1" applyBorder="1" applyAlignment="1">
      <alignment horizontal="center"/>
    </xf>
    <xf numFmtId="0" fontId="4" fillId="0" borderId="12" xfId="0" applyFont="1" applyBorder="1"/>
    <xf numFmtId="0" fontId="7" fillId="2" borderId="1" xfId="0" applyFont="1" applyFill="1" applyBorder="1"/>
    <xf numFmtId="0" fontId="4" fillId="0" borderId="3" xfId="0" applyFont="1" applyBorder="1"/>
    <xf numFmtId="0" fontId="7" fillId="2" borderId="18" xfId="0" applyFont="1" applyFill="1" applyBorder="1"/>
    <xf numFmtId="0" fontId="7" fillId="2" borderId="8" xfId="0" applyFont="1" applyFill="1" applyBorder="1"/>
    <xf numFmtId="0" fontId="7" fillId="2" borderId="15" xfId="0" applyFont="1" applyFill="1" applyBorder="1"/>
    <xf numFmtId="0" fontId="7" fillId="2" borderId="16" xfId="0" applyFont="1" applyFill="1" applyBorder="1"/>
    <xf numFmtId="0" fontId="7" fillId="2" borderId="17" xfId="0" applyFont="1" applyFill="1" applyBorder="1"/>
    <xf numFmtId="0" fontId="7" fillId="2" borderId="14" xfId="0" applyFont="1" applyFill="1" applyBorder="1"/>
    <xf numFmtId="0" fontId="4" fillId="0" borderId="1" xfId="0" applyFont="1" applyBorder="1"/>
    <xf numFmtId="0" fontId="4" fillId="0" borderId="13" xfId="0" applyFont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5" borderId="26" xfId="0" applyFont="1" applyFill="1" applyBorder="1"/>
    <xf numFmtId="0" fontId="6" fillId="4" borderId="26" xfId="0" applyFont="1" applyFill="1" applyBorder="1" applyAlignment="1">
      <alignment horizontal="center" vertical="center"/>
    </xf>
    <xf numFmtId="0" fontId="6" fillId="5" borderId="7" xfId="0" applyFont="1" applyFill="1" applyBorder="1"/>
    <xf numFmtId="0" fontId="4" fillId="4" borderId="3" xfId="0" applyFont="1" applyFill="1" applyBorder="1"/>
    <xf numFmtId="0" fontId="4" fillId="4" borderId="9" xfId="0" applyFont="1" applyFill="1" applyBorder="1"/>
    <xf numFmtId="0" fontId="4" fillId="4" borderId="0" xfId="0" applyFont="1" applyFill="1"/>
    <xf numFmtId="0" fontId="4" fillId="5" borderId="11" xfId="0" applyFont="1" applyFill="1" applyBorder="1"/>
    <xf numFmtId="0" fontId="4" fillId="5" borderId="0" xfId="0" applyFont="1" applyFill="1"/>
    <xf numFmtId="0" fontId="4" fillId="5" borderId="12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4" fillId="4" borderId="6" xfId="0" applyFont="1" applyFill="1" applyBorder="1"/>
    <xf numFmtId="0" fontId="6" fillId="4" borderId="27" xfId="0" applyFont="1" applyFill="1" applyBorder="1"/>
    <xf numFmtId="0" fontId="4" fillId="4" borderId="5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4" fillId="4" borderId="10" xfId="0" applyFont="1" applyFill="1" applyBorder="1"/>
    <xf numFmtId="0" fontId="0" fillId="3" borderId="23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6" xfId="0" applyFont="1" applyBorder="1"/>
    <xf numFmtId="0" fontId="4" fillId="0" borderId="4" xfId="0" applyFont="1" applyBorder="1"/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4" borderId="2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184631</xdr:colOff>
      <xdr:row>1</xdr:row>
      <xdr:rowOff>26899</xdr:rowOff>
    </xdr:from>
    <xdr:to>
      <xdr:col>1</xdr:col>
      <xdr:colOff>1207274</xdr:colOff>
      <xdr:row>5</xdr:row>
      <xdr:rowOff>187290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2C3912-7C4B-D62D-408E-16B266B8DB27}"/>
            </a:ext>
          </a:extLst>
        </xdr:cNvPr>
        <xdr:cNvSpPr/>
      </xdr:nvSpPr>
      <xdr:spPr>
        <a:xfrm>
          <a:off x="184631" y="227766"/>
          <a:ext cx="1255908" cy="1171208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6E5D-4444-469E-9F6C-B4D178EE8DD5}">
  <dimension ref="A1:B12"/>
  <sheetViews>
    <sheetView zoomScale="117" workbookViewId="0">
      <selection activeCell="B4" sqref="B4:B12"/>
    </sheetView>
  </sheetViews>
  <sheetFormatPr defaultRowHeight="14.5" x14ac:dyDescent="0.35"/>
  <cols>
    <col min="1" max="1" width="17.7265625" customWidth="1"/>
    <col min="2" max="2" width="10.6328125" customWidth="1"/>
  </cols>
  <sheetData>
    <row r="1" spans="1:2" x14ac:dyDescent="0.35">
      <c r="A1" t="s">
        <v>64</v>
      </c>
      <c r="B1" t="s">
        <v>65</v>
      </c>
    </row>
    <row r="2" spans="1:2" x14ac:dyDescent="0.35">
      <c r="A2" t="s">
        <v>66</v>
      </c>
      <c r="B2" t="s">
        <v>67</v>
      </c>
    </row>
    <row r="3" spans="1:2" x14ac:dyDescent="0.35">
      <c r="A3" s="1" t="s">
        <v>1</v>
      </c>
      <c r="B3" s="1" t="s">
        <v>44</v>
      </c>
    </row>
    <row r="4" spans="1:2" x14ac:dyDescent="0.35">
      <c r="A4" t="s">
        <v>11</v>
      </c>
      <c r="B4" t="s">
        <v>56</v>
      </c>
    </row>
    <row r="5" spans="1:2" x14ac:dyDescent="0.35">
      <c r="A5" t="s">
        <v>12</v>
      </c>
      <c r="B5" t="s">
        <v>57</v>
      </c>
    </row>
    <row r="6" spans="1:2" x14ac:dyDescent="0.35">
      <c r="A6" t="s">
        <v>9</v>
      </c>
      <c r="B6" t="s">
        <v>56</v>
      </c>
    </row>
    <row r="7" spans="1:2" x14ac:dyDescent="0.35">
      <c r="A7" t="s">
        <v>14</v>
      </c>
      <c r="B7" t="s">
        <v>56</v>
      </c>
    </row>
    <row r="8" spans="1:2" x14ac:dyDescent="0.35">
      <c r="A8" t="s">
        <v>10</v>
      </c>
      <c r="B8" t="s">
        <v>57</v>
      </c>
    </row>
    <row r="9" spans="1:2" x14ac:dyDescent="0.35">
      <c r="A9" t="s">
        <v>13</v>
      </c>
      <c r="B9" t="s">
        <v>56</v>
      </c>
    </row>
    <row r="10" spans="1:2" x14ac:dyDescent="0.35">
      <c r="A10" t="s">
        <v>15</v>
      </c>
      <c r="B10" t="s">
        <v>57</v>
      </c>
    </row>
    <row r="11" spans="1:2" x14ac:dyDescent="0.35">
      <c r="A11" t="s">
        <v>7</v>
      </c>
      <c r="B11" t="s">
        <v>57</v>
      </c>
    </row>
    <row r="12" spans="1:2" x14ac:dyDescent="0.35">
      <c r="A12" t="s">
        <v>8</v>
      </c>
      <c r="B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6ADB-8348-4617-8E7D-F4738236C057}">
  <dimension ref="A1:I12"/>
  <sheetViews>
    <sheetView zoomScale="119" workbookViewId="0">
      <selection activeCell="I4" sqref="I4"/>
    </sheetView>
  </sheetViews>
  <sheetFormatPr defaultRowHeight="14.5" x14ac:dyDescent="0.35"/>
  <cols>
    <col min="1" max="1" width="3.90625" bestFit="1" customWidth="1"/>
    <col min="2" max="2" width="15.7265625" bestFit="1" customWidth="1"/>
    <col min="3" max="3" width="6.81640625" bestFit="1" customWidth="1"/>
    <col min="8" max="8" width="5.90625" bestFit="1" customWidth="1"/>
  </cols>
  <sheetData>
    <row r="1" spans="1:9" x14ac:dyDescent="0.35">
      <c r="A1" s="3"/>
      <c r="B1" s="3" t="s">
        <v>47</v>
      </c>
      <c r="C1" s="87" t="s">
        <v>17</v>
      </c>
      <c r="D1" s="87"/>
      <c r="E1" s="87"/>
      <c r="F1" s="87"/>
      <c r="G1" s="87"/>
      <c r="H1" s="87"/>
      <c r="I1" s="87"/>
    </row>
    <row r="2" spans="1:9" x14ac:dyDescent="0.35">
      <c r="A2" s="3"/>
      <c r="B2" s="3" t="s">
        <v>46</v>
      </c>
      <c r="C2" s="87" t="s">
        <v>48</v>
      </c>
      <c r="D2" s="87"/>
      <c r="E2" s="87"/>
      <c r="F2" s="87"/>
      <c r="G2" s="87"/>
      <c r="H2" s="87"/>
      <c r="I2" s="87"/>
    </row>
    <row r="3" spans="1:9" x14ac:dyDescent="0.35">
      <c r="A3" s="1" t="s">
        <v>0</v>
      </c>
      <c r="B3" s="1" t="s">
        <v>1</v>
      </c>
      <c r="C3" s="1" t="s">
        <v>44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30</v>
      </c>
      <c r="I3" s="1" t="s">
        <v>16</v>
      </c>
    </row>
    <row r="4" spans="1:9" x14ac:dyDescent="0.35">
      <c r="A4">
        <v>1</v>
      </c>
      <c r="B4" t="s">
        <v>11</v>
      </c>
      <c r="C4" t="s">
        <v>56</v>
      </c>
      <c r="D4" s="2">
        <v>12</v>
      </c>
      <c r="E4" s="2">
        <v>18</v>
      </c>
      <c r="F4" s="2">
        <v>39</v>
      </c>
      <c r="G4" s="2">
        <f>SUM(D4:F4)</f>
        <v>69</v>
      </c>
      <c r="H4" s="2" t="str">
        <f>IF(G4&gt;=70, "A", IF(G4&gt;=60, "B", IF(G4&gt;=50, "C", IF(G4&gt;=40, "D", "E"))))</f>
        <v>B</v>
      </c>
      <c r="I4" s="2">
        <f>_xlfn.RANK.EQ(G4, $G$4:$G$12)</f>
        <v>7</v>
      </c>
    </row>
    <row r="5" spans="1:9" x14ac:dyDescent="0.35">
      <c r="A5">
        <v>2</v>
      </c>
      <c r="B5" t="s">
        <v>12</v>
      </c>
      <c r="C5" t="s">
        <v>57</v>
      </c>
      <c r="D5" s="2">
        <v>13</v>
      </c>
      <c r="E5" s="2">
        <v>17</v>
      </c>
      <c r="F5" s="2">
        <v>43</v>
      </c>
      <c r="G5" s="2">
        <f t="shared" ref="G5:G12" si="0">SUM(D5:F5)</f>
        <v>73</v>
      </c>
      <c r="H5" s="2" t="str">
        <f t="shared" ref="H5:H12" si="1">IF(G5&gt;=70, "A", IF(G5&gt;=60, "B", IF(G5&gt;=50, "C", IF(G5&gt;=40, "D", "E"))))</f>
        <v>A</v>
      </c>
      <c r="I5" s="2">
        <f t="shared" ref="I5:I12" si="2">_xlfn.RANK.EQ(G5, $G$4:$G$12)</f>
        <v>5</v>
      </c>
    </row>
    <row r="6" spans="1:9" x14ac:dyDescent="0.35">
      <c r="A6">
        <v>3</v>
      </c>
      <c r="B6" t="s">
        <v>9</v>
      </c>
      <c r="C6" t="s">
        <v>56</v>
      </c>
      <c r="D6" s="2">
        <v>18</v>
      </c>
      <c r="E6" s="2">
        <v>17</v>
      </c>
      <c r="F6" s="2">
        <v>50</v>
      </c>
      <c r="G6" s="2">
        <f t="shared" si="0"/>
        <v>85</v>
      </c>
      <c r="H6" s="2" t="str">
        <f t="shared" si="1"/>
        <v>A</v>
      </c>
      <c r="I6" s="2">
        <f t="shared" si="2"/>
        <v>2</v>
      </c>
    </row>
    <row r="7" spans="1:9" x14ac:dyDescent="0.35">
      <c r="A7">
        <v>4</v>
      </c>
      <c r="B7" t="s">
        <v>14</v>
      </c>
      <c r="C7" t="s">
        <v>56</v>
      </c>
      <c r="D7" s="2">
        <v>19</v>
      </c>
      <c r="E7" s="2">
        <v>16</v>
      </c>
      <c r="F7" s="2">
        <v>40</v>
      </c>
      <c r="G7" s="2">
        <f t="shared" si="0"/>
        <v>75</v>
      </c>
      <c r="H7" s="2" t="str">
        <f t="shared" si="1"/>
        <v>A</v>
      </c>
      <c r="I7" s="2">
        <f t="shared" si="2"/>
        <v>4</v>
      </c>
    </row>
    <row r="8" spans="1:9" x14ac:dyDescent="0.35">
      <c r="A8">
        <v>5</v>
      </c>
      <c r="B8" t="s">
        <v>10</v>
      </c>
      <c r="C8" t="s">
        <v>57</v>
      </c>
      <c r="D8" s="2">
        <v>11</v>
      </c>
      <c r="E8" s="2">
        <v>20</v>
      </c>
      <c r="F8" s="2">
        <v>42</v>
      </c>
      <c r="G8" s="2">
        <f t="shared" si="0"/>
        <v>73</v>
      </c>
      <c r="H8" s="2" t="str">
        <f t="shared" si="1"/>
        <v>A</v>
      </c>
      <c r="I8" s="2">
        <f t="shared" si="2"/>
        <v>5</v>
      </c>
    </row>
    <row r="9" spans="1:9" x14ac:dyDescent="0.35">
      <c r="A9">
        <v>6</v>
      </c>
      <c r="B9" t="s">
        <v>13</v>
      </c>
      <c r="C9" t="s">
        <v>56</v>
      </c>
      <c r="D9" s="2">
        <v>13</v>
      </c>
      <c r="E9" s="2">
        <v>16</v>
      </c>
      <c r="F9" s="2">
        <v>47</v>
      </c>
      <c r="G9" s="2">
        <f t="shared" si="0"/>
        <v>76</v>
      </c>
      <c r="H9" s="2" t="str">
        <f t="shared" si="1"/>
        <v>A</v>
      </c>
      <c r="I9" s="2">
        <f t="shared" si="2"/>
        <v>3</v>
      </c>
    </row>
    <row r="10" spans="1:9" x14ac:dyDescent="0.35">
      <c r="A10">
        <v>7</v>
      </c>
      <c r="B10" t="s">
        <v>15</v>
      </c>
      <c r="C10" t="s">
        <v>57</v>
      </c>
      <c r="D10" s="2">
        <v>18</v>
      </c>
      <c r="E10" s="2">
        <v>19</v>
      </c>
      <c r="F10" s="2">
        <v>51</v>
      </c>
      <c r="G10" s="2">
        <f t="shared" si="0"/>
        <v>88</v>
      </c>
      <c r="H10" s="2" t="str">
        <f t="shared" si="1"/>
        <v>A</v>
      </c>
      <c r="I10" s="2">
        <f t="shared" si="2"/>
        <v>1</v>
      </c>
    </row>
    <row r="11" spans="1:9" x14ac:dyDescent="0.35">
      <c r="A11">
        <v>8</v>
      </c>
      <c r="B11" t="s">
        <v>7</v>
      </c>
      <c r="C11" t="s">
        <v>57</v>
      </c>
      <c r="D11" s="2">
        <v>0</v>
      </c>
      <c r="E11" s="2">
        <v>0</v>
      </c>
      <c r="F11" s="2">
        <v>5</v>
      </c>
      <c r="G11" s="2">
        <f t="shared" si="0"/>
        <v>5</v>
      </c>
      <c r="H11" s="2" t="str">
        <f t="shared" si="1"/>
        <v>E</v>
      </c>
      <c r="I11" s="2">
        <f t="shared" si="2"/>
        <v>9</v>
      </c>
    </row>
    <row r="12" spans="1:9" x14ac:dyDescent="0.35">
      <c r="A12">
        <v>9</v>
      </c>
      <c r="B12" t="s">
        <v>8</v>
      </c>
      <c r="C12" t="s">
        <v>57</v>
      </c>
      <c r="D12" s="2">
        <v>11</v>
      </c>
      <c r="E12" s="2">
        <v>9</v>
      </c>
      <c r="F12" s="2">
        <v>18</v>
      </c>
      <c r="G12" s="2">
        <f t="shared" si="0"/>
        <v>38</v>
      </c>
      <c r="H12" s="2" t="str">
        <f t="shared" si="1"/>
        <v>E</v>
      </c>
      <c r="I12" s="2">
        <f t="shared" si="2"/>
        <v>8</v>
      </c>
    </row>
  </sheetData>
  <sortState xmlns:xlrd2="http://schemas.microsoft.com/office/spreadsheetml/2017/richdata2" ref="B4:I12">
    <sortCondition ref="B4:B12"/>
  </sortState>
  <mergeCells count="2">
    <mergeCell ref="C1:I1"/>
    <mergeCell ref="C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DF5D-61A2-42B5-B260-33D347A3F3D8}">
  <dimension ref="A1:I12"/>
  <sheetViews>
    <sheetView zoomScale="121" workbookViewId="0">
      <selection activeCell="I4" sqref="I4:I12"/>
    </sheetView>
  </sheetViews>
  <sheetFormatPr defaultRowHeight="14.5" x14ac:dyDescent="0.35"/>
  <cols>
    <col min="1" max="1" width="3.81640625" bestFit="1" customWidth="1"/>
    <col min="2" max="2" width="15.7265625" customWidth="1"/>
    <col min="3" max="3" width="6.81640625" bestFit="1" customWidth="1"/>
  </cols>
  <sheetData>
    <row r="1" spans="1:9" x14ac:dyDescent="0.35">
      <c r="A1" s="3"/>
      <c r="B1" s="5" t="s">
        <v>47</v>
      </c>
      <c r="C1" s="87" t="s">
        <v>2</v>
      </c>
      <c r="D1" s="87"/>
      <c r="E1" s="87"/>
      <c r="F1" s="87"/>
      <c r="G1" s="87"/>
      <c r="H1" s="87"/>
      <c r="I1" s="87"/>
    </row>
    <row r="2" spans="1:9" x14ac:dyDescent="0.35">
      <c r="A2" s="3"/>
      <c r="B2" s="5" t="s">
        <v>46</v>
      </c>
      <c r="C2" s="87" t="s">
        <v>48</v>
      </c>
      <c r="D2" s="87"/>
      <c r="E2" s="87"/>
      <c r="F2" s="87"/>
      <c r="G2" s="87"/>
      <c r="H2" s="87"/>
      <c r="I2" s="87"/>
    </row>
    <row r="3" spans="1:9" x14ac:dyDescent="0.35">
      <c r="A3" t="s">
        <v>0</v>
      </c>
      <c r="B3" s="1" t="s">
        <v>1</v>
      </c>
      <c r="C3" s="1" t="s">
        <v>44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31</v>
      </c>
      <c r="I3" s="1" t="s">
        <v>16</v>
      </c>
    </row>
    <row r="4" spans="1:9" x14ac:dyDescent="0.35">
      <c r="A4">
        <v>1</v>
      </c>
      <c r="B4" t="s">
        <v>11</v>
      </c>
      <c r="C4" t="s">
        <v>56</v>
      </c>
      <c r="D4" s="2">
        <v>16</v>
      </c>
      <c r="E4" s="2">
        <v>13</v>
      </c>
      <c r="F4" s="2">
        <v>38</v>
      </c>
      <c r="G4" s="2">
        <f>SUM(D4:F4)</f>
        <v>67</v>
      </c>
      <c r="H4" s="2" t="str">
        <f>IF(G4&gt;=70, "A", IF(G4&gt;=60, "B", IF(G4&gt;=50, "C", IF(G4&gt;=40, "D", "E"))))</f>
        <v>B</v>
      </c>
      <c r="I4" s="2">
        <f>_xlfn.RANK.EQ(G4, $G$4:$G$12)</f>
        <v>5</v>
      </c>
    </row>
    <row r="5" spans="1:9" x14ac:dyDescent="0.35">
      <c r="A5">
        <v>2</v>
      </c>
      <c r="B5" t="s">
        <v>12</v>
      </c>
      <c r="C5" t="s">
        <v>57</v>
      </c>
      <c r="D5" s="2">
        <v>3</v>
      </c>
      <c r="E5" s="2">
        <v>17</v>
      </c>
      <c r="F5" s="2">
        <v>15</v>
      </c>
      <c r="G5" s="2">
        <f t="shared" ref="G5:G12" si="0">SUM(D5:F5)</f>
        <v>35</v>
      </c>
      <c r="H5" s="2" t="str">
        <f t="shared" ref="H5:H12" si="1">IF(G5&gt;=70, "A", IF(G5&gt;=60, "B", IF(G5&gt;=50, "C", IF(G5&gt;=40, "D", "E"))))</f>
        <v>E</v>
      </c>
      <c r="I5" s="2">
        <f t="shared" ref="I5:I12" si="2">_xlfn.RANK.EQ(G5, $G$4:$G$12)</f>
        <v>9</v>
      </c>
    </row>
    <row r="6" spans="1:9" x14ac:dyDescent="0.35">
      <c r="A6">
        <v>3</v>
      </c>
      <c r="B6" t="s">
        <v>9</v>
      </c>
      <c r="C6" t="s">
        <v>56</v>
      </c>
      <c r="D6" s="2">
        <v>11</v>
      </c>
      <c r="E6" s="2">
        <v>19</v>
      </c>
      <c r="F6" s="2">
        <v>27</v>
      </c>
      <c r="G6" s="2">
        <f t="shared" si="0"/>
        <v>57</v>
      </c>
      <c r="H6" s="2" t="str">
        <f t="shared" si="1"/>
        <v>C</v>
      </c>
      <c r="I6" s="2">
        <f t="shared" si="2"/>
        <v>7</v>
      </c>
    </row>
    <row r="7" spans="1:9" x14ac:dyDescent="0.35">
      <c r="A7">
        <v>4</v>
      </c>
      <c r="B7" t="s">
        <v>14</v>
      </c>
      <c r="C7" t="s">
        <v>57</v>
      </c>
      <c r="D7" s="2">
        <v>20</v>
      </c>
      <c r="E7" s="2">
        <v>13</v>
      </c>
      <c r="F7" s="2">
        <v>33</v>
      </c>
      <c r="G7" s="2">
        <f t="shared" si="0"/>
        <v>66</v>
      </c>
      <c r="H7" s="2" t="str">
        <f t="shared" si="1"/>
        <v>B</v>
      </c>
      <c r="I7" s="2">
        <f t="shared" si="2"/>
        <v>6</v>
      </c>
    </row>
    <row r="8" spans="1:9" x14ac:dyDescent="0.35">
      <c r="A8">
        <v>5</v>
      </c>
      <c r="B8" t="s">
        <v>10</v>
      </c>
      <c r="C8" t="s">
        <v>57</v>
      </c>
      <c r="D8" s="2">
        <v>20</v>
      </c>
      <c r="E8" s="2">
        <v>20</v>
      </c>
      <c r="F8" s="2">
        <v>53</v>
      </c>
      <c r="G8" s="2">
        <f t="shared" si="0"/>
        <v>93</v>
      </c>
      <c r="H8" s="2" t="str">
        <f t="shared" si="1"/>
        <v>A</v>
      </c>
      <c r="I8" s="2">
        <f t="shared" si="2"/>
        <v>2</v>
      </c>
    </row>
    <row r="9" spans="1:9" x14ac:dyDescent="0.35">
      <c r="A9">
        <v>6</v>
      </c>
      <c r="B9" t="s">
        <v>13</v>
      </c>
      <c r="C9" t="s">
        <v>56</v>
      </c>
      <c r="D9" s="2">
        <v>10</v>
      </c>
      <c r="E9" s="2">
        <v>20</v>
      </c>
      <c r="F9" s="2">
        <v>42</v>
      </c>
      <c r="G9" s="2">
        <f t="shared" si="0"/>
        <v>72</v>
      </c>
      <c r="H9" s="2" t="str">
        <f t="shared" si="1"/>
        <v>A</v>
      </c>
      <c r="I9" s="2">
        <f t="shared" si="2"/>
        <v>4</v>
      </c>
    </row>
    <row r="10" spans="1:9" x14ac:dyDescent="0.35">
      <c r="A10">
        <v>7</v>
      </c>
      <c r="B10" t="s">
        <v>15</v>
      </c>
      <c r="C10" t="s">
        <v>57</v>
      </c>
      <c r="D10" s="2">
        <v>20</v>
      </c>
      <c r="E10" s="2">
        <v>19</v>
      </c>
      <c r="F10" s="2">
        <v>57</v>
      </c>
      <c r="G10" s="2">
        <f t="shared" si="0"/>
        <v>96</v>
      </c>
      <c r="H10" s="2" t="str">
        <f t="shared" si="1"/>
        <v>A</v>
      </c>
      <c r="I10" s="2">
        <f t="shared" si="2"/>
        <v>1</v>
      </c>
    </row>
    <row r="11" spans="1:9" x14ac:dyDescent="0.35">
      <c r="A11">
        <v>8</v>
      </c>
      <c r="B11" t="s">
        <v>7</v>
      </c>
      <c r="C11" t="s">
        <v>57</v>
      </c>
      <c r="D11" s="2">
        <v>13</v>
      </c>
      <c r="E11" s="2">
        <v>10</v>
      </c>
      <c r="F11" s="2">
        <v>21</v>
      </c>
      <c r="G11" s="2">
        <f t="shared" si="0"/>
        <v>44</v>
      </c>
      <c r="H11" s="2" t="str">
        <f t="shared" si="1"/>
        <v>D</v>
      </c>
      <c r="I11" s="2">
        <f t="shared" si="2"/>
        <v>8</v>
      </c>
    </row>
    <row r="12" spans="1:9" x14ac:dyDescent="0.35">
      <c r="A12">
        <v>9</v>
      </c>
      <c r="B12" t="s">
        <v>8</v>
      </c>
      <c r="C12" t="s">
        <v>57</v>
      </c>
      <c r="D12" s="2">
        <v>14</v>
      </c>
      <c r="E12" s="2">
        <v>13</v>
      </c>
      <c r="F12" s="2">
        <v>54</v>
      </c>
      <c r="G12" s="2">
        <f t="shared" si="0"/>
        <v>81</v>
      </c>
      <c r="H12" s="2" t="str">
        <f t="shared" si="1"/>
        <v>A</v>
      </c>
      <c r="I12" s="2">
        <f t="shared" si="2"/>
        <v>3</v>
      </c>
    </row>
  </sheetData>
  <sortState xmlns:xlrd2="http://schemas.microsoft.com/office/spreadsheetml/2017/richdata2" ref="A2:I10">
    <sortCondition ref="B2:B10"/>
  </sortState>
  <mergeCells count="2">
    <mergeCell ref="C1:I1"/>
    <mergeCell ref="C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9EA6-CD0B-4DFA-BE96-17E0CFEB6848}">
  <dimension ref="A1:I12"/>
  <sheetViews>
    <sheetView zoomScale="120" workbookViewId="0">
      <selection activeCell="I4" sqref="I4"/>
    </sheetView>
  </sheetViews>
  <sheetFormatPr defaultRowHeight="14.5" x14ac:dyDescent="0.35"/>
  <cols>
    <col min="2" max="3" width="15.7265625" bestFit="1" customWidth="1"/>
    <col min="4" max="4" width="6.81640625" bestFit="1" customWidth="1"/>
    <col min="5" max="6" width="5.7265625" bestFit="1" customWidth="1"/>
    <col min="7" max="7" width="5.36328125" bestFit="1" customWidth="1"/>
    <col min="8" max="8" width="6.81640625" bestFit="1" customWidth="1"/>
    <col min="9" max="9" width="7.7265625" bestFit="1" customWidth="1"/>
    <col min="10" max="10" width="7.453125" bestFit="1" customWidth="1"/>
  </cols>
  <sheetData>
    <row r="1" spans="1:9" x14ac:dyDescent="0.35">
      <c r="A1" s="4"/>
      <c r="B1" s="4" t="s">
        <v>47</v>
      </c>
      <c r="C1" s="51" t="s">
        <v>17</v>
      </c>
      <c r="D1" s="52"/>
      <c r="E1" s="52"/>
      <c r="F1" s="52"/>
      <c r="G1" s="52"/>
      <c r="H1" s="52"/>
      <c r="I1" s="53"/>
    </row>
    <row r="2" spans="1:9" x14ac:dyDescent="0.35">
      <c r="A2" s="4"/>
      <c r="B2" s="4" t="s">
        <v>46</v>
      </c>
      <c r="C2" s="51" t="s">
        <v>48</v>
      </c>
      <c r="D2" s="52"/>
      <c r="E2" s="52"/>
      <c r="F2" s="52"/>
      <c r="G2" s="52"/>
      <c r="H2" s="52"/>
      <c r="I2" s="53"/>
    </row>
    <row r="3" spans="1:9" x14ac:dyDescent="0.35">
      <c r="A3" s="1" t="s">
        <v>0</v>
      </c>
      <c r="B3" s="1" t="s">
        <v>1</v>
      </c>
      <c r="C3" s="1" t="s">
        <v>44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31</v>
      </c>
      <c r="I3" s="1" t="s">
        <v>16</v>
      </c>
    </row>
    <row r="4" spans="1:9" x14ac:dyDescent="0.35">
      <c r="A4">
        <v>1</v>
      </c>
      <c r="B4" t="s">
        <v>11</v>
      </c>
      <c r="C4" t="s">
        <v>56</v>
      </c>
      <c r="D4">
        <v>14</v>
      </c>
      <c r="E4">
        <v>11</v>
      </c>
      <c r="F4">
        <v>42</v>
      </c>
      <c r="G4">
        <f>SUM(D4:F4)</f>
        <v>67</v>
      </c>
      <c r="H4" t="str">
        <f>IF(G4&gt;=70, "A", IF(G4&gt;=60, "B", IF(G4&gt;=50, "C", IF(G4&gt;=40, "D", "E"))))</f>
        <v>B</v>
      </c>
      <c r="I4">
        <f>_xlfn.RANK.EQ(G4, $G$4:$G$12)</f>
        <v>5</v>
      </c>
    </row>
    <row r="5" spans="1:9" x14ac:dyDescent="0.35">
      <c r="A5">
        <v>2</v>
      </c>
      <c r="B5" t="s">
        <v>12</v>
      </c>
      <c r="C5" t="s">
        <v>57</v>
      </c>
      <c r="D5">
        <v>11</v>
      </c>
      <c r="E5">
        <v>20</v>
      </c>
      <c r="F5">
        <v>55</v>
      </c>
      <c r="G5">
        <f t="shared" ref="G5:G12" si="0">SUM(D5:F5)</f>
        <v>86</v>
      </c>
      <c r="H5" t="str">
        <f t="shared" ref="H5:H12" si="1">IF(G5&gt;=70, "A", IF(G5&gt;=60, "B", IF(G5&gt;=50, "C", IF(G5&gt;=40, "D", "E"))))</f>
        <v>A</v>
      </c>
      <c r="I5">
        <f t="shared" ref="I5:I12" si="2">_xlfn.RANK.EQ(G5, $G$4:$G$12)</f>
        <v>3</v>
      </c>
    </row>
    <row r="6" spans="1:9" x14ac:dyDescent="0.35">
      <c r="A6">
        <v>3</v>
      </c>
      <c r="B6" t="s">
        <v>9</v>
      </c>
      <c r="C6" t="s">
        <v>56</v>
      </c>
      <c r="D6">
        <v>20</v>
      </c>
      <c r="E6">
        <v>5</v>
      </c>
      <c r="F6">
        <v>15</v>
      </c>
      <c r="G6">
        <f t="shared" si="0"/>
        <v>40</v>
      </c>
      <c r="H6" t="str">
        <f t="shared" si="1"/>
        <v>D</v>
      </c>
      <c r="I6">
        <f t="shared" si="2"/>
        <v>9</v>
      </c>
    </row>
    <row r="7" spans="1:9" x14ac:dyDescent="0.35">
      <c r="A7">
        <v>4</v>
      </c>
      <c r="B7" t="s">
        <v>14</v>
      </c>
      <c r="C7" t="s">
        <v>56</v>
      </c>
      <c r="D7">
        <v>18</v>
      </c>
      <c r="E7">
        <v>19</v>
      </c>
      <c r="F7">
        <v>59</v>
      </c>
      <c r="G7">
        <f t="shared" si="0"/>
        <v>96</v>
      </c>
      <c r="H7" t="str">
        <f t="shared" si="1"/>
        <v>A</v>
      </c>
      <c r="I7">
        <f t="shared" si="2"/>
        <v>1</v>
      </c>
    </row>
    <row r="8" spans="1:9" x14ac:dyDescent="0.35">
      <c r="A8">
        <v>5</v>
      </c>
      <c r="B8" t="s">
        <v>10</v>
      </c>
      <c r="C8" t="s">
        <v>57</v>
      </c>
      <c r="D8">
        <v>17</v>
      </c>
      <c r="E8">
        <v>12</v>
      </c>
      <c r="F8">
        <v>53</v>
      </c>
      <c r="G8">
        <f t="shared" si="0"/>
        <v>82</v>
      </c>
      <c r="H8" t="str">
        <f t="shared" si="1"/>
        <v>A</v>
      </c>
      <c r="I8">
        <f t="shared" si="2"/>
        <v>4</v>
      </c>
    </row>
    <row r="9" spans="1:9" x14ac:dyDescent="0.35">
      <c r="A9">
        <v>6</v>
      </c>
      <c r="B9" t="s">
        <v>13</v>
      </c>
      <c r="C9" t="s">
        <v>56</v>
      </c>
      <c r="D9">
        <v>11</v>
      </c>
      <c r="E9">
        <v>4</v>
      </c>
      <c r="F9">
        <v>40</v>
      </c>
      <c r="G9">
        <f t="shared" si="0"/>
        <v>55</v>
      </c>
      <c r="H9" t="str">
        <f t="shared" si="1"/>
        <v>C</v>
      </c>
      <c r="I9">
        <f t="shared" si="2"/>
        <v>8</v>
      </c>
    </row>
    <row r="10" spans="1:9" x14ac:dyDescent="0.35">
      <c r="A10">
        <v>7</v>
      </c>
      <c r="B10" t="s">
        <v>15</v>
      </c>
      <c r="C10" t="s">
        <v>57</v>
      </c>
      <c r="D10">
        <v>16</v>
      </c>
      <c r="E10">
        <v>15</v>
      </c>
      <c r="F10">
        <v>30</v>
      </c>
      <c r="G10">
        <f t="shared" si="0"/>
        <v>61</v>
      </c>
      <c r="H10" t="str">
        <f t="shared" si="1"/>
        <v>B</v>
      </c>
      <c r="I10">
        <f t="shared" si="2"/>
        <v>6</v>
      </c>
    </row>
    <row r="11" spans="1:9" x14ac:dyDescent="0.35">
      <c r="A11">
        <v>8</v>
      </c>
      <c r="B11" t="s">
        <v>7</v>
      </c>
      <c r="C11" t="s">
        <v>57</v>
      </c>
      <c r="D11">
        <v>19</v>
      </c>
      <c r="E11">
        <v>18</v>
      </c>
      <c r="F11">
        <v>55</v>
      </c>
      <c r="G11">
        <f t="shared" si="0"/>
        <v>92</v>
      </c>
      <c r="H11" t="str">
        <f t="shared" si="1"/>
        <v>A</v>
      </c>
      <c r="I11">
        <f t="shared" si="2"/>
        <v>2</v>
      </c>
    </row>
    <row r="12" spans="1:9" x14ac:dyDescent="0.35">
      <c r="A12">
        <v>9</v>
      </c>
      <c r="B12" t="s">
        <v>8</v>
      </c>
      <c r="C12" t="s">
        <v>57</v>
      </c>
      <c r="D12">
        <v>17</v>
      </c>
      <c r="E12">
        <v>17</v>
      </c>
      <c r="F12">
        <v>27</v>
      </c>
      <c r="G12">
        <f t="shared" si="0"/>
        <v>61</v>
      </c>
      <c r="H12" t="str">
        <f t="shared" si="1"/>
        <v>B</v>
      </c>
      <c r="I12">
        <f t="shared" si="2"/>
        <v>6</v>
      </c>
    </row>
  </sheetData>
  <sheetProtection formatCells="0" formatColumns="0" formatRows="0" insertColumns="0" insertRows="0" insertHyperlinks="0" deleteColumns="0" deleteRows="0" autoFilter="0" pivotTables="0"/>
  <sortState xmlns:xlrd2="http://schemas.microsoft.com/office/spreadsheetml/2017/richdata2" ref="A4:I12">
    <sortCondition ref="B4:B12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86A8-9262-4261-9FFA-13A3F93DC551}">
  <dimension ref="B1:K43"/>
  <sheetViews>
    <sheetView tabSelected="1" topLeftCell="A5" zoomScale="77" zoomScaleNormal="98" workbookViewId="0">
      <selection activeCell="C23" sqref="C23:D23"/>
    </sheetView>
  </sheetViews>
  <sheetFormatPr defaultRowHeight="15.5" x14ac:dyDescent="0.35"/>
  <cols>
    <col min="1" max="1" width="3.36328125" style="9" customWidth="1"/>
    <col min="2" max="2" width="20" style="9" bestFit="1" customWidth="1"/>
    <col min="3" max="4" width="6.81640625" style="9" bestFit="1" customWidth="1"/>
    <col min="5" max="5" width="8.6328125" style="9" bestFit="1" customWidth="1"/>
    <col min="6" max="6" width="7.7265625" style="9" customWidth="1"/>
    <col min="7" max="7" width="7.453125" style="9" bestFit="1" customWidth="1"/>
    <col min="8" max="8" width="9.81640625" style="9" bestFit="1" customWidth="1"/>
    <col min="9" max="9" width="2.1796875" style="9" customWidth="1"/>
    <col min="10" max="10" width="9.81640625" style="9" bestFit="1" customWidth="1"/>
    <col min="11" max="11" width="6.1796875" style="9" customWidth="1"/>
    <col min="12" max="16384" width="8.7265625" style="9"/>
  </cols>
  <sheetData>
    <row r="1" spans="2:11" ht="16" customHeight="1" x14ac:dyDescent="0.35">
      <c r="B1" s="6"/>
      <c r="C1" s="7"/>
      <c r="D1" s="7"/>
      <c r="E1" s="7"/>
      <c r="F1" s="7"/>
      <c r="G1" s="7"/>
      <c r="H1" s="7"/>
      <c r="I1" s="7"/>
      <c r="J1" s="7"/>
      <c r="K1" s="8"/>
    </row>
    <row r="2" spans="2:11" ht="16" customHeight="1" x14ac:dyDescent="0.35">
      <c r="B2" s="10"/>
      <c r="C2" s="67" t="s">
        <v>61</v>
      </c>
      <c r="D2" s="67"/>
      <c r="E2" s="67"/>
      <c r="F2" s="67"/>
      <c r="G2" s="67"/>
      <c r="H2" s="67"/>
      <c r="I2" s="67"/>
      <c r="J2" s="67"/>
      <c r="K2" s="11"/>
    </row>
    <row r="3" spans="2:11" ht="16" customHeight="1" x14ac:dyDescent="0.35">
      <c r="B3" s="10"/>
      <c r="C3" s="68" t="s">
        <v>25</v>
      </c>
      <c r="D3" s="68"/>
      <c r="E3" s="68"/>
      <c r="F3" s="68"/>
      <c r="G3" s="68"/>
      <c r="H3" s="68"/>
      <c r="I3" s="68"/>
      <c r="J3" s="68"/>
      <c r="K3" s="11"/>
    </row>
    <row r="4" spans="2:11" ht="32" customHeight="1" x14ac:dyDescent="0.35">
      <c r="B4" s="10"/>
      <c r="C4" s="69" t="s">
        <v>62</v>
      </c>
      <c r="D4" s="70"/>
      <c r="E4" s="70"/>
      <c r="F4" s="70"/>
      <c r="G4" s="70"/>
      <c r="H4" s="70"/>
      <c r="I4" s="70"/>
      <c r="J4" s="70"/>
      <c r="K4" s="12"/>
    </row>
    <row r="5" spans="2:11" ht="16" customHeight="1" x14ac:dyDescent="0.35">
      <c r="B5" s="10"/>
      <c r="C5" s="71" t="str">
        <f>"RESULT SHEET FOR "&amp;F9&amp;" ACADEMIC SESSION"</f>
        <v>RESULT SHEET FOR 2025/2026 ACADEMIC SESSION</v>
      </c>
      <c r="D5" s="71"/>
      <c r="E5" s="71"/>
      <c r="F5" s="71"/>
      <c r="G5" s="71"/>
      <c r="H5" s="71"/>
      <c r="I5" s="71"/>
      <c r="J5" s="71"/>
      <c r="K5" s="12"/>
    </row>
    <row r="6" spans="2:11" ht="16" customHeight="1" x14ac:dyDescent="0.35">
      <c r="B6" s="13"/>
      <c r="C6" s="72"/>
      <c r="D6" s="72"/>
      <c r="E6" s="72"/>
      <c r="F6" s="72"/>
      <c r="G6" s="72"/>
      <c r="H6" s="72"/>
      <c r="I6" s="72"/>
      <c r="J6" s="72"/>
      <c r="K6" s="14"/>
    </row>
    <row r="7" spans="2:11" x14ac:dyDescent="0.35">
      <c r="B7" s="15" t="s">
        <v>29</v>
      </c>
      <c r="C7" s="54" t="s">
        <v>14</v>
      </c>
      <c r="D7" s="55"/>
      <c r="E7" s="55"/>
      <c r="F7" s="55"/>
      <c r="G7" s="55"/>
      <c r="H7" s="55"/>
      <c r="I7" s="55"/>
      <c r="J7" s="55"/>
      <c r="K7" s="56"/>
    </row>
    <row r="8" spans="2:11" ht="5" customHeight="1" x14ac:dyDescent="0.35">
      <c r="B8" s="57"/>
      <c r="C8" s="58"/>
      <c r="D8" s="58"/>
      <c r="E8" s="58"/>
      <c r="F8" s="58"/>
      <c r="G8" s="58"/>
      <c r="H8" s="58"/>
      <c r="I8" s="59"/>
      <c r="J8" s="58"/>
      <c r="K8" s="60"/>
    </row>
    <row r="9" spans="2:11" x14ac:dyDescent="0.35">
      <c r="B9" s="15" t="s">
        <v>27</v>
      </c>
      <c r="C9" s="64" t="str">
        <f>_xlfn.XLOOKUP(C7,'English Language'!$B$4:$B$12,'English Language'!$C$4:$C$12)</f>
        <v>F</v>
      </c>
      <c r="D9" s="66"/>
      <c r="E9" s="17" t="s">
        <v>26</v>
      </c>
      <c r="F9" s="64" t="s">
        <v>28</v>
      </c>
      <c r="G9" s="65"/>
      <c r="H9" s="66"/>
      <c r="I9" s="84"/>
      <c r="J9" s="61" t="s">
        <v>38</v>
      </c>
      <c r="K9" s="62"/>
    </row>
    <row r="10" spans="2:11" x14ac:dyDescent="0.35">
      <c r="B10" s="63" t="s">
        <v>45</v>
      </c>
      <c r="C10" s="63"/>
      <c r="D10" s="63"/>
      <c r="E10" s="63"/>
      <c r="F10" s="63"/>
      <c r="G10" s="63"/>
      <c r="H10" s="63"/>
      <c r="I10" s="84"/>
      <c r="J10" s="54" t="s">
        <v>39</v>
      </c>
      <c r="K10" s="56"/>
    </row>
    <row r="11" spans="2:11" x14ac:dyDescent="0.35">
      <c r="B11" s="18" t="s">
        <v>19</v>
      </c>
      <c r="C11" s="19" t="s">
        <v>20</v>
      </c>
      <c r="D11" s="19" t="s">
        <v>21</v>
      </c>
      <c r="E11" s="20" t="s">
        <v>22</v>
      </c>
      <c r="F11" s="21" t="s">
        <v>23</v>
      </c>
      <c r="G11" s="19" t="s">
        <v>31</v>
      </c>
      <c r="H11" s="22" t="s">
        <v>24</v>
      </c>
      <c r="I11" s="84"/>
      <c r="J11" s="54" t="s">
        <v>40</v>
      </c>
      <c r="K11" s="56"/>
    </row>
    <row r="12" spans="2:11" x14ac:dyDescent="0.35">
      <c r="B12" s="23" t="s">
        <v>2</v>
      </c>
      <c r="C12" s="24" cm="1">
        <f t="array" ref="C12:H12">_xlfn.XLOOKUP($C$7,Mathematics!$B$4:$B$12,Mathematics!$D$4:$I$12,"")</f>
        <v>20</v>
      </c>
      <c r="D12" s="24">
        <v>13</v>
      </c>
      <c r="E12" s="24">
        <v>33</v>
      </c>
      <c r="F12" s="29">
        <v>66</v>
      </c>
      <c r="G12" s="25" t="str">
        <v>B</v>
      </c>
      <c r="H12" s="26">
        <v>6</v>
      </c>
      <c r="I12" s="84"/>
      <c r="J12" s="54" t="s">
        <v>41</v>
      </c>
      <c r="K12" s="56"/>
    </row>
    <row r="13" spans="2:11" x14ac:dyDescent="0.35">
      <c r="B13" s="23" t="s">
        <v>17</v>
      </c>
      <c r="C13" s="24" cm="1">
        <f t="array" ref="C13:H13">_xlfn.XLOOKUP($C$7,'English Language'!$B$4:$B$12,'English Language'!$D$4:$I$12,"")</f>
        <v>19</v>
      </c>
      <c r="D13" s="24">
        <v>16</v>
      </c>
      <c r="E13" s="24">
        <v>40</v>
      </c>
      <c r="F13" s="29">
        <v>75</v>
      </c>
      <c r="G13" s="25" t="str">
        <v>A</v>
      </c>
      <c r="H13" s="26">
        <v>4</v>
      </c>
      <c r="I13" s="84"/>
      <c r="J13" s="54" t="s">
        <v>42</v>
      </c>
      <c r="K13" s="56"/>
    </row>
    <row r="14" spans="2:11" x14ac:dyDescent="0.35">
      <c r="B14" s="23" t="s">
        <v>18</v>
      </c>
      <c r="C14" s="24">
        <f>_xlfn.XLOOKUP(C7, 'Basic Science'!$B$4:$B$12, 'Basic Science'!$D$4:$D$12,"")</f>
        <v>18</v>
      </c>
      <c r="D14" s="24">
        <f>_xlfn.XLOOKUP(C7,'Basic Science'!$B$4:$B$12,'Basic Science'!$E$4:$E$12,"")</f>
        <v>19</v>
      </c>
      <c r="E14" s="24">
        <f>_xlfn.XLOOKUP(C7,'Basic Science'!$B$4:$B$12,'Basic Science'!$F$4:$F$12,"")</f>
        <v>59</v>
      </c>
      <c r="F14" s="29">
        <f>_xlfn.XLOOKUP(C7,'Basic Science'!$B$4:$B$12,'Basic Science'!$G$4:$G$12,"")</f>
        <v>96</v>
      </c>
      <c r="G14" s="25" t="str">
        <f>_xlfn.XLOOKUP(C7,'Basic Science'!$B$4:$B$12,'Basic Science'!$H$4:$H$12,"")</f>
        <v>A</v>
      </c>
      <c r="H14" s="26">
        <f>_xlfn.XLOOKUP(C7,'Basic Science'!$B$4:$B$12,'Basic Science'!$I$4:$I$12,"")</f>
        <v>1</v>
      </c>
      <c r="I14" s="84"/>
      <c r="J14" s="54" t="s">
        <v>43</v>
      </c>
      <c r="K14" s="56"/>
    </row>
    <row r="15" spans="2:11" x14ac:dyDescent="0.35">
      <c r="B15" s="23" t="s">
        <v>49</v>
      </c>
      <c r="C15" s="27"/>
      <c r="D15" s="27"/>
      <c r="E15" s="27"/>
      <c r="F15" s="29"/>
      <c r="G15" s="28"/>
      <c r="H15" s="29"/>
      <c r="I15" s="84"/>
      <c r="J15" s="16"/>
      <c r="K15" s="16"/>
    </row>
    <row r="16" spans="2:11" x14ac:dyDescent="0.35">
      <c r="B16" s="23" t="s">
        <v>50</v>
      </c>
      <c r="C16" s="27"/>
      <c r="D16" s="27"/>
      <c r="E16" s="27"/>
      <c r="F16" s="29"/>
      <c r="G16" s="28"/>
      <c r="H16" s="29"/>
      <c r="I16" s="84"/>
      <c r="J16" s="82" t="s">
        <v>32</v>
      </c>
      <c r="K16" s="83"/>
    </row>
    <row r="17" spans="2:11" x14ac:dyDescent="0.35">
      <c r="B17" s="23" t="s">
        <v>51</v>
      </c>
      <c r="C17" s="27"/>
      <c r="D17" s="27"/>
      <c r="E17" s="27"/>
      <c r="F17" s="29"/>
      <c r="G17" s="28"/>
      <c r="H17" s="29"/>
      <c r="I17" s="84"/>
      <c r="J17" s="85" t="s">
        <v>33</v>
      </c>
      <c r="K17" s="85"/>
    </row>
    <row r="18" spans="2:11" x14ac:dyDescent="0.35">
      <c r="B18" s="23" t="s">
        <v>52</v>
      </c>
      <c r="C18" s="27"/>
      <c r="D18" s="27"/>
      <c r="E18" s="27"/>
      <c r="F18" s="29"/>
      <c r="G18" s="28"/>
      <c r="H18" s="29"/>
      <c r="I18" s="84"/>
      <c r="J18" s="86" t="s">
        <v>34</v>
      </c>
      <c r="K18" s="86"/>
    </row>
    <row r="19" spans="2:11" x14ac:dyDescent="0.35">
      <c r="B19" s="23" t="s">
        <v>53</v>
      </c>
      <c r="C19" s="27"/>
      <c r="D19" s="27"/>
      <c r="E19" s="27"/>
      <c r="F19" s="29"/>
      <c r="G19" s="28"/>
      <c r="H19" s="29"/>
      <c r="I19" s="84"/>
      <c r="J19" s="86" t="s">
        <v>35</v>
      </c>
      <c r="K19" s="86"/>
    </row>
    <row r="20" spans="2:11" x14ac:dyDescent="0.35">
      <c r="B20" s="23" t="s">
        <v>54</v>
      </c>
      <c r="C20" s="27"/>
      <c r="D20" s="27"/>
      <c r="E20" s="27"/>
      <c r="F20" s="29"/>
      <c r="G20" s="28"/>
      <c r="H20" s="29"/>
      <c r="I20" s="84"/>
      <c r="J20" s="86" t="s">
        <v>36</v>
      </c>
      <c r="K20" s="86"/>
    </row>
    <row r="21" spans="2:11" x14ac:dyDescent="0.35">
      <c r="B21" s="23" t="s">
        <v>55</v>
      </c>
      <c r="C21" s="23"/>
      <c r="D21" s="23"/>
      <c r="E21" s="23"/>
      <c r="F21" s="29"/>
      <c r="G21" s="28"/>
      <c r="H21" s="30"/>
      <c r="I21" s="84"/>
      <c r="J21" s="86" t="s">
        <v>37</v>
      </c>
      <c r="K21" s="86"/>
    </row>
    <row r="22" spans="2:11" x14ac:dyDescent="0.35">
      <c r="B22" s="72"/>
      <c r="C22" s="72"/>
      <c r="D22" s="72"/>
      <c r="E22" s="72"/>
      <c r="F22" s="72"/>
      <c r="G22" s="72"/>
      <c r="H22" s="72"/>
      <c r="I22" s="84"/>
      <c r="J22" s="72"/>
      <c r="K22" s="72"/>
    </row>
    <row r="23" spans="2:11" x14ac:dyDescent="0.35">
      <c r="B23" s="31" t="s">
        <v>58</v>
      </c>
      <c r="C23" s="79">
        <f>SUM(F12:F21)</f>
        <v>237</v>
      </c>
      <c r="D23" s="79"/>
      <c r="E23" s="77" t="s">
        <v>59</v>
      </c>
      <c r="F23" s="78"/>
      <c r="G23" s="80">
        <f>IFERROR(ROUND(AVERAGE(F12:F21),2),"")</f>
        <v>79</v>
      </c>
      <c r="H23" s="81"/>
      <c r="I23" s="46"/>
      <c r="J23" s="33" t="s">
        <v>24</v>
      </c>
      <c r="K23" s="32"/>
    </row>
    <row r="24" spans="2:11" s="36" customFormat="1" x14ac:dyDescent="0.35">
      <c r="B24" s="34"/>
      <c r="C24" s="34"/>
      <c r="D24" s="34"/>
      <c r="E24" s="34"/>
      <c r="F24" s="34"/>
      <c r="G24" s="34"/>
      <c r="H24" s="34"/>
      <c r="I24" s="35"/>
      <c r="J24" s="34"/>
      <c r="K24" s="34"/>
    </row>
    <row r="25" spans="2:11" ht="18.5" x14ac:dyDescent="0.45">
      <c r="B25" s="73" t="s">
        <v>60</v>
      </c>
      <c r="C25" s="74"/>
      <c r="D25" s="74"/>
      <c r="E25" s="74"/>
      <c r="F25" s="74"/>
      <c r="G25" s="74"/>
      <c r="H25" s="74"/>
      <c r="I25" s="74"/>
      <c r="J25" s="74"/>
      <c r="K25" s="75"/>
    </row>
    <row r="26" spans="2:11" x14ac:dyDescent="0.35">
      <c r="B26" s="37"/>
      <c r="C26" s="38"/>
      <c r="D26" s="38"/>
      <c r="E26" s="38"/>
      <c r="F26" s="38"/>
      <c r="G26" s="38"/>
      <c r="H26" s="38"/>
      <c r="I26" s="38"/>
      <c r="J26" s="38"/>
      <c r="K26" s="39"/>
    </row>
    <row r="27" spans="2:11" x14ac:dyDescent="0.35">
      <c r="B27" s="37"/>
      <c r="C27" s="38"/>
      <c r="D27" s="38"/>
      <c r="E27" s="38"/>
      <c r="F27" s="38"/>
      <c r="G27" s="38"/>
      <c r="H27" s="38"/>
      <c r="I27" s="38"/>
      <c r="J27" s="38"/>
      <c r="K27" s="39"/>
    </row>
    <row r="28" spans="2:11" x14ac:dyDescent="0.35">
      <c r="B28" s="34"/>
      <c r="C28" s="34"/>
      <c r="D28" s="34"/>
      <c r="E28" s="34"/>
      <c r="F28" s="34"/>
      <c r="G28" s="34"/>
      <c r="H28" s="34"/>
      <c r="I28" s="34"/>
      <c r="J28" s="34"/>
      <c r="K28" s="34"/>
    </row>
    <row r="29" spans="2:11" x14ac:dyDescent="0.35">
      <c r="B29" s="37"/>
      <c r="C29" s="38"/>
      <c r="D29" s="38"/>
      <c r="E29" s="38"/>
      <c r="F29" s="38"/>
      <c r="G29" s="38"/>
      <c r="H29" s="38"/>
      <c r="I29" s="38"/>
      <c r="J29" s="38"/>
      <c r="K29" s="39"/>
    </row>
    <row r="30" spans="2:11" x14ac:dyDescent="0.35">
      <c r="B30" s="37"/>
      <c r="C30" s="38"/>
      <c r="D30" s="38"/>
      <c r="E30" s="38"/>
      <c r="F30" s="38"/>
      <c r="G30" s="38"/>
      <c r="H30" s="38"/>
      <c r="I30" s="38"/>
      <c r="J30" s="38"/>
      <c r="K30" s="39"/>
    </row>
    <row r="31" spans="2:11" x14ac:dyDescent="0.35">
      <c r="B31" s="37"/>
      <c r="C31" s="38"/>
      <c r="D31" s="38"/>
      <c r="E31" s="38"/>
      <c r="F31" s="38"/>
      <c r="G31" s="38"/>
      <c r="H31" s="38"/>
      <c r="I31" s="38"/>
      <c r="J31" s="38"/>
      <c r="K31" s="39"/>
    </row>
    <row r="32" spans="2:11" x14ac:dyDescent="0.35">
      <c r="B32" s="37"/>
      <c r="C32" s="38"/>
      <c r="D32" s="38"/>
      <c r="E32" s="38"/>
      <c r="F32" s="38"/>
      <c r="G32" s="38"/>
      <c r="H32" s="38"/>
      <c r="I32" s="38"/>
      <c r="J32" s="38"/>
      <c r="K32" s="39"/>
    </row>
    <row r="33" spans="2:11" x14ac:dyDescent="0.35">
      <c r="B33" s="37"/>
      <c r="C33" s="38"/>
      <c r="D33" s="38"/>
      <c r="E33" s="38"/>
      <c r="F33" s="38"/>
      <c r="G33" s="38"/>
      <c r="H33" s="38"/>
      <c r="I33" s="38"/>
      <c r="J33" s="38"/>
      <c r="K33" s="39"/>
    </row>
    <row r="34" spans="2:11" x14ac:dyDescent="0.35">
      <c r="B34" s="37"/>
      <c r="C34" s="38"/>
      <c r="D34" s="38"/>
      <c r="E34" s="38"/>
      <c r="F34" s="38"/>
      <c r="G34" s="38"/>
      <c r="H34" s="38"/>
      <c r="I34" s="38"/>
      <c r="J34" s="38"/>
      <c r="K34" s="39"/>
    </row>
    <row r="35" spans="2:11" x14ac:dyDescent="0.35">
      <c r="B35" s="37"/>
      <c r="C35" s="38"/>
      <c r="D35" s="38"/>
      <c r="E35" s="38"/>
      <c r="F35" s="38"/>
      <c r="G35" s="38"/>
      <c r="H35" s="38"/>
      <c r="I35" s="38"/>
      <c r="J35" s="38"/>
      <c r="K35" s="39"/>
    </row>
    <row r="36" spans="2:11" x14ac:dyDescent="0.35">
      <c r="B36" s="37"/>
      <c r="C36" s="38"/>
      <c r="D36" s="38"/>
      <c r="E36" s="38"/>
      <c r="F36" s="38"/>
      <c r="G36" s="38"/>
      <c r="H36" s="38"/>
      <c r="I36" s="38"/>
      <c r="J36" s="38"/>
      <c r="K36" s="39"/>
    </row>
    <row r="37" spans="2:11" x14ac:dyDescent="0.35">
      <c r="B37" s="40"/>
      <c r="C37" s="41"/>
      <c r="D37" s="41"/>
      <c r="E37" s="41"/>
      <c r="F37" s="41"/>
      <c r="G37" s="41"/>
      <c r="H37" s="41"/>
      <c r="I37" s="41"/>
      <c r="J37" s="41"/>
      <c r="K37" s="42"/>
    </row>
    <row r="39" spans="2:11" x14ac:dyDescent="0.35">
      <c r="B39" s="47"/>
      <c r="C39" s="45"/>
      <c r="D39" s="45"/>
      <c r="E39" s="76" t="s">
        <v>63</v>
      </c>
      <c r="F39" s="76"/>
      <c r="G39" s="45"/>
      <c r="H39" s="45"/>
      <c r="I39" s="45"/>
      <c r="J39" s="45"/>
      <c r="K39" s="48"/>
    </row>
    <row r="40" spans="2:11" x14ac:dyDescent="0.35">
      <c r="B40" s="43"/>
      <c r="C40" s="36"/>
      <c r="D40" s="36"/>
      <c r="E40" s="36"/>
      <c r="F40" s="36"/>
      <c r="G40" s="36"/>
      <c r="H40" s="36"/>
      <c r="I40" s="36"/>
      <c r="J40" s="36"/>
      <c r="K40" s="44"/>
    </row>
    <row r="41" spans="2:11" x14ac:dyDescent="0.35">
      <c r="B41" s="43"/>
      <c r="C41" s="36"/>
      <c r="D41" s="36"/>
      <c r="E41" s="36"/>
      <c r="F41" s="36"/>
      <c r="G41" s="36"/>
      <c r="H41" s="36"/>
      <c r="I41" s="36"/>
      <c r="J41" s="36"/>
      <c r="K41" s="44"/>
    </row>
    <row r="42" spans="2:11" x14ac:dyDescent="0.35">
      <c r="B42" s="43"/>
      <c r="C42" s="36"/>
      <c r="D42" s="36"/>
      <c r="E42" s="36"/>
      <c r="F42" s="36"/>
      <c r="G42" s="36"/>
      <c r="H42" s="36"/>
      <c r="I42" s="36"/>
      <c r="J42" s="36"/>
      <c r="K42" s="44"/>
    </row>
    <row r="43" spans="2:11" x14ac:dyDescent="0.35">
      <c r="B43" s="49"/>
      <c r="C43" s="35"/>
      <c r="D43" s="35"/>
      <c r="E43" s="35"/>
      <c r="F43" s="35"/>
      <c r="G43" s="35"/>
      <c r="H43" s="35"/>
      <c r="I43" s="35"/>
      <c r="J43" s="35"/>
      <c r="K43" s="50"/>
    </row>
  </sheetData>
  <mergeCells count="29">
    <mergeCell ref="J16:K16"/>
    <mergeCell ref="B22:K22"/>
    <mergeCell ref="I9:I21"/>
    <mergeCell ref="J17:K17"/>
    <mergeCell ref="J18:K18"/>
    <mergeCell ref="J19:K19"/>
    <mergeCell ref="J20:K20"/>
    <mergeCell ref="J21:K21"/>
    <mergeCell ref="J12:K12"/>
    <mergeCell ref="J13:K13"/>
    <mergeCell ref="J14:K14"/>
    <mergeCell ref="J11:K11"/>
    <mergeCell ref="B25:K25"/>
    <mergeCell ref="E39:F39"/>
    <mergeCell ref="E23:F23"/>
    <mergeCell ref="C23:D23"/>
    <mergeCell ref="G23:H23"/>
    <mergeCell ref="C2:J2"/>
    <mergeCell ref="C3:J3"/>
    <mergeCell ref="C4:J4"/>
    <mergeCell ref="C5:J5"/>
    <mergeCell ref="C6:J6"/>
    <mergeCell ref="C7:K7"/>
    <mergeCell ref="B8:K8"/>
    <mergeCell ref="J9:K9"/>
    <mergeCell ref="B10:H10"/>
    <mergeCell ref="F9:H9"/>
    <mergeCell ref="C9:D9"/>
    <mergeCell ref="J10:K10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lick the dropdown icon" prompt="Please select your name_x000a_" xr:uid="{1FAE4F44-5B50-4124-9740-B908B5D61CF9}">
          <x14:formula1>
            <xm:f>'English Language'!$B$4:$B$12</xm:f>
          </x14:formula1>
          <xm:sqref>C7:K7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Names of Students</vt:lpstr>
      <vt:lpstr>English Language</vt:lpstr>
      <vt:lpstr>Mathematics</vt:lpstr>
      <vt:lpstr>Basic Science</vt:lpstr>
      <vt:lpstr>RESULT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OJB</dc:creator>
  <cp:lastModifiedBy>chibuzo</cp:lastModifiedBy>
  <cp:lastPrinted>2026-04-28T13:49:00Z</cp:lastPrinted>
  <dcterms:created xsi:type="dcterms:W3CDTF">2026-04-25T07:44:39Z</dcterms:created>
  <dcterms:modified xsi:type="dcterms:W3CDTF">2026-05-07T16:56:04Z</dcterms:modified>
</cp:coreProperties>
</file>